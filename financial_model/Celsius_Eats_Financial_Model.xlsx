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bookpro/Documents/2026/"/>
    </mc:Choice>
  </mc:AlternateContent>
  <xr:revisionPtr revIDLastSave="0" documentId="13_ncr:1_{4099A985-AEF1-4E44-8EA1-17968AFB1BEA}" xr6:coauthVersionLast="47" xr6:coauthVersionMax="47" xr10:uidLastSave="{00000000-0000-0000-0000-000000000000}"/>
  <bookViews>
    <workbookView xWindow="0" yWindow="0" windowWidth="16760" windowHeight="21000" activeTab="1" xr2:uid="{058BF1D7-D7C3-524C-B55D-A3169C5FE66F}"/>
  </bookViews>
  <sheets>
    <sheet name="Hurdle Rate" sheetId="1" r:id="rId1"/>
    <sheet name="Parameters" sheetId="7" r:id="rId2"/>
    <sheet name="Finite Life" sheetId="4" r:id="rId3"/>
    <sheet name="Infinite Life" sheetId="5" r:id="rId4"/>
    <sheet name="ROC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2" i="4" l="1"/>
  <c r="G22" i="4"/>
  <c r="D72" i="7"/>
  <c r="E72" i="7" s="1"/>
  <c r="F72" i="7" s="1"/>
  <c r="G72" i="7" s="1"/>
  <c r="H72" i="7" s="1"/>
  <c r="I72" i="7" s="1"/>
  <c r="J72" i="7" s="1"/>
  <c r="K72" i="7" s="1"/>
  <c r="L72" i="7" s="1"/>
  <c r="M72" i="7" s="1"/>
  <c r="N72" i="7" s="1"/>
  <c r="O72" i="7" s="1"/>
  <c r="P72" i="7" s="1"/>
  <c r="Q72" i="7" s="1"/>
  <c r="R72" i="7" s="1"/>
  <c r="D148" i="7"/>
  <c r="E148" i="7" s="1"/>
  <c r="F148" i="7" s="1"/>
  <c r="G148" i="7" s="1"/>
  <c r="H148" i="7" s="1"/>
  <c r="I148" i="7" s="1"/>
  <c r="J148" i="7" s="1"/>
  <c r="K148" i="7" s="1"/>
  <c r="G143" i="7"/>
  <c r="H143" i="7" s="1"/>
  <c r="I143" i="7" s="1"/>
  <c r="J143" i="7" s="1"/>
  <c r="K143" i="7" s="1"/>
  <c r="L143" i="7" s="1"/>
  <c r="M143" i="7" s="1"/>
  <c r="N143" i="7" s="1"/>
  <c r="O143" i="7" s="1"/>
  <c r="P143" i="7" s="1"/>
  <c r="Q143" i="7" s="1"/>
  <c r="R143" i="7" s="1"/>
  <c r="S143" i="7" s="1"/>
  <c r="D141" i="7"/>
  <c r="E141" i="7" s="1"/>
  <c r="F141" i="7" s="1"/>
  <c r="H109" i="7"/>
  <c r="D106" i="7"/>
  <c r="E106" i="7" s="1"/>
  <c r="F106" i="7" s="1"/>
  <c r="G106" i="7" s="1"/>
  <c r="H106" i="7" s="1"/>
  <c r="I106" i="7" s="1"/>
  <c r="J106" i="7" s="1"/>
  <c r="K106" i="7" s="1"/>
  <c r="L106" i="7" s="1"/>
  <c r="M106" i="7" s="1"/>
  <c r="N106" i="7" s="1"/>
  <c r="O106" i="7" s="1"/>
  <c r="P106" i="7" s="1"/>
  <c r="Q106" i="7" s="1"/>
  <c r="R106" i="7" s="1"/>
  <c r="G101" i="7"/>
  <c r="H101" i="7" s="1"/>
  <c r="I101" i="7" s="1"/>
  <c r="J101" i="7" s="1"/>
  <c r="K101" i="7" s="1"/>
  <c r="L101" i="7" s="1"/>
  <c r="M101" i="7" s="1"/>
  <c r="N101" i="7" s="1"/>
  <c r="O101" i="7" s="1"/>
  <c r="G95" i="7"/>
  <c r="G96" i="7" s="1"/>
  <c r="G135" i="7" s="1"/>
  <c r="G34" i="7"/>
  <c r="G21" i="4" s="1"/>
  <c r="F95" i="7"/>
  <c r="F96" i="7" s="1"/>
  <c r="C60" i="5"/>
  <c r="E50" i="5"/>
  <c r="D50" i="5"/>
  <c r="C50" i="5"/>
  <c r="C43" i="5"/>
  <c r="C6" i="5"/>
  <c r="C5" i="5"/>
  <c r="N26" i="5"/>
  <c r="G26" i="5"/>
  <c r="F10" i="5" a="1"/>
  <c r="F10" i="5" s="1"/>
  <c r="G74" i="7"/>
  <c r="H74" i="7" s="1"/>
  <c r="I74" i="7" s="1"/>
  <c r="J74" i="7" s="1"/>
  <c r="K74" i="7" s="1"/>
  <c r="L74" i="7" s="1"/>
  <c r="M74" i="7" s="1"/>
  <c r="N74" i="7" s="1"/>
  <c r="O74" i="7" s="1"/>
  <c r="P74" i="7" s="1"/>
  <c r="Q74" i="7" s="1"/>
  <c r="R74" i="7" s="1"/>
  <c r="D79" i="7"/>
  <c r="E79" i="7" s="1"/>
  <c r="F79" i="7" s="1"/>
  <c r="G79" i="7" s="1"/>
  <c r="H79" i="7" s="1"/>
  <c r="I79" i="7" s="1"/>
  <c r="J79" i="7" s="1"/>
  <c r="K79" i="7" s="1"/>
  <c r="L79" i="7" s="1"/>
  <c r="M79" i="7" s="1"/>
  <c r="N79" i="7" s="1"/>
  <c r="O79" i="7" s="1"/>
  <c r="P79" i="7" s="1"/>
  <c r="Q79" i="7" s="1"/>
  <c r="R79" i="7" s="1"/>
  <c r="D38" i="7"/>
  <c r="E38" i="7" s="1"/>
  <c r="F38" i="7" s="1"/>
  <c r="G38" i="7" s="1"/>
  <c r="H38" i="7" s="1"/>
  <c r="I38" i="7" s="1"/>
  <c r="J38" i="7" s="1"/>
  <c r="K38" i="7" s="1"/>
  <c r="L38" i="7" s="1"/>
  <c r="M38" i="7" s="1"/>
  <c r="N38" i="7" s="1"/>
  <c r="O38" i="7" s="1"/>
  <c r="P38" i="7" s="1"/>
  <c r="Q38" i="7" s="1"/>
  <c r="R38" i="7" s="1"/>
  <c r="H34" i="7"/>
  <c r="I34" i="7" s="1"/>
  <c r="C46" i="4"/>
  <c r="C53" i="4" a="1"/>
  <c r="C53" i="4" s="1"/>
  <c r="B67" i="5" s="1" a="1"/>
  <c r="B67" i="5" s="1"/>
  <c r="D27" i="7"/>
  <c r="C27" i="7"/>
  <c r="C28" i="7" s="1"/>
  <c r="F21" i="4"/>
  <c r="F9" i="4" a="1"/>
  <c r="F9" i="4" s="1"/>
  <c r="F8" i="4" a="1"/>
  <c r="F8" i="4" s="1"/>
  <c r="C29" i="4"/>
  <c r="R37" i="4" s="1"/>
  <c r="D7" i="2"/>
  <c r="D4" i="2"/>
  <c r="E60" i="7"/>
  <c r="D60" i="7"/>
  <c r="Q59" i="7"/>
  <c r="R59" i="7"/>
  <c r="C60" i="7"/>
  <c r="I109" i="7"/>
  <c r="J109" i="7" s="1"/>
  <c r="K109" i="7" s="1"/>
  <c r="L109" i="7" s="1"/>
  <c r="M109" i="7" s="1"/>
  <c r="N109" i="7" s="1"/>
  <c r="R107" i="7"/>
  <c r="G107" i="7"/>
  <c r="H107" i="7" s="1"/>
  <c r="I107" i="7" s="1"/>
  <c r="J107" i="7" s="1"/>
  <c r="K107" i="7" s="1"/>
  <c r="L107" i="7" s="1"/>
  <c r="M107" i="7" s="1"/>
  <c r="N107" i="7" s="1"/>
  <c r="O107" i="7" s="1"/>
  <c r="P107" i="7" s="1"/>
  <c r="R95" i="7"/>
  <c r="R96" i="7" s="1"/>
  <c r="R135" i="7" s="1"/>
  <c r="Q95" i="7"/>
  <c r="Q96" i="7" s="1"/>
  <c r="Q134" i="7" s="1"/>
  <c r="P95" i="7"/>
  <c r="P96" i="7" s="1"/>
  <c r="P135" i="7" s="1"/>
  <c r="O95" i="7"/>
  <c r="O96" i="7" s="1"/>
  <c r="O135" i="7" s="1"/>
  <c r="N95" i="7"/>
  <c r="N96" i="7" s="1"/>
  <c r="N135" i="7" s="1"/>
  <c r="M95" i="7"/>
  <c r="M96" i="7" s="1"/>
  <c r="M134" i="7" s="1"/>
  <c r="L95" i="7"/>
  <c r="L96" i="7" s="1"/>
  <c r="L135" i="7" s="1"/>
  <c r="K95" i="7"/>
  <c r="K96" i="7" s="1"/>
  <c r="K135" i="7" s="1"/>
  <c r="J95" i="7"/>
  <c r="J96" i="7" s="1"/>
  <c r="J135" i="7" s="1"/>
  <c r="I95" i="7"/>
  <c r="I96" i="7" s="1"/>
  <c r="I134" i="7" s="1"/>
  <c r="H95" i="7"/>
  <c r="H96" i="7" s="1"/>
  <c r="H135" i="7" s="1"/>
  <c r="S94" i="7"/>
  <c r="S95" i="7" s="1"/>
  <c r="S96" i="7" s="1"/>
  <c r="S135" i="7" s="1"/>
  <c r="G114" i="7"/>
  <c r="G125" i="7" s="1"/>
  <c r="F113" i="7"/>
  <c r="F125" i="7" s="1"/>
  <c r="F129" i="7" s="1"/>
  <c r="R57" i="7"/>
  <c r="R58" i="7" s="1"/>
  <c r="E19" i="2" s="1"/>
  <c r="Q57" i="7"/>
  <c r="Q58" i="7" s="1"/>
  <c r="Q126" i="7" s="1"/>
  <c r="H41" i="7"/>
  <c r="I41" i="7" s="1"/>
  <c r="J41" i="7" s="1"/>
  <c r="K41" i="7" s="1"/>
  <c r="L41" i="7" s="1"/>
  <c r="M41" i="7" s="1"/>
  <c r="N41" i="7" s="1"/>
  <c r="R39" i="7"/>
  <c r="G39" i="7"/>
  <c r="H39" i="7" s="1"/>
  <c r="I39" i="7" s="1"/>
  <c r="J39" i="7" s="1"/>
  <c r="K39" i="7" s="1"/>
  <c r="L39" i="7" s="1"/>
  <c r="M39" i="7" s="1"/>
  <c r="N39" i="7" s="1"/>
  <c r="O39" i="7" s="1"/>
  <c r="P39" i="7" s="1"/>
  <c r="R21" i="7"/>
  <c r="R22" i="7" s="1"/>
  <c r="R65" i="7" s="1"/>
  <c r="Q21" i="7"/>
  <c r="Q22" i="7" s="1"/>
  <c r="Q66" i="7" s="1"/>
  <c r="P21" i="7"/>
  <c r="P22" i="7" s="1"/>
  <c r="P65" i="7" s="1"/>
  <c r="O21" i="7"/>
  <c r="O22" i="7" s="1"/>
  <c r="O65" i="7" s="1"/>
  <c r="N21" i="7"/>
  <c r="N22" i="7" s="1"/>
  <c r="N65" i="7" s="1"/>
  <c r="M21" i="7"/>
  <c r="M22" i="7" s="1"/>
  <c r="M66" i="7" s="1"/>
  <c r="L21" i="7"/>
  <c r="L22" i="7" s="1"/>
  <c r="L65" i="7" s="1"/>
  <c r="K21" i="7"/>
  <c r="K22" i="7" s="1"/>
  <c r="K65" i="7" s="1"/>
  <c r="J21" i="7"/>
  <c r="J22" i="7" s="1"/>
  <c r="J65" i="7" s="1"/>
  <c r="I21" i="7"/>
  <c r="I22" i="7" s="1"/>
  <c r="I66" i="7" s="1"/>
  <c r="H21" i="7"/>
  <c r="H22" i="7" s="1"/>
  <c r="H65" i="7" s="1"/>
  <c r="G21" i="7"/>
  <c r="G22" i="7" s="1"/>
  <c r="G65" i="7" s="1"/>
  <c r="F21" i="7"/>
  <c r="F22" i="7" s="1"/>
  <c r="F66" i="7" s="1"/>
  <c r="R125" i="7"/>
  <c r="S125" i="7" s="1"/>
  <c r="S126" i="7" s="1"/>
  <c r="F45" i="7"/>
  <c r="F57" i="7" s="1"/>
  <c r="G46" i="7"/>
  <c r="G57" i="7" s="1"/>
  <c r="G58" i="7" s="1"/>
  <c r="E8" i="2" s="1"/>
  <c r="C108" i="1"/>
  <c r="F14" i="5" l="1" a="1"/>
  <c r="F14" i="5" s="1"/>
  <c r="F135" i="7"/>
  <c r="J34" i="7"/>
  <c r="K34" i="7" s="1"/>
  <c r="L34" i="7" s="1"/>
  <c r="M34" i="7" s="1"/>
  <c r="N34" i="7" s="1"/>
  <c r="O34" i="7" s="1"/>
  <c r="H21" i="4" a="1"/>
  <c r="H21" i="4" s="1"/>
  <c r="F142" i="7"/>
  <c r="G141" i="7"/>
  <c r="C29" i="7"/>
  <c r="L148" i="7"/>
  <c r="M148" i="7" s="1"/>
  <c r="N148" i="7" s="1"/>
  <c r="O148" i="7" s="1"/>
  <c r="P148" i="7" s="1"/>
  <c r="Q148" i="7" s="1"/>
  <c r="R148" i="7" s="1"/>
  <c r="S148" i="7" s="1"/>
  <c r="K149" i="7"/>
  <c r="F13" i="5" a="1"/>
  <c r="F13" i="5" s="1"/>
  <c r="R126" i="7"/>
  <c r="R102" i="7" s="1"/>
  <c r="E27" i="7"/>
  <c r="D28" i="7"/>
  <c r="D29" i="7" s="1"/>
  <c r="G126" i="7"/>
  <c r="F11" i="5" a="1"/>
  <c r="F11" i="5" s="1"/>
  <c r="Q37" i="4"/>
  <c r="F73" i="7"/>
  <c r="F75" i="7" s="1"/>
  <c r="F20" i="4" s="1"/>
  <c r="P55" i="7"/>
  <c r="P57" i="7" s="1"/>
  <c r="P58" i="7" s="1"/>
  <c r="P126" i="7" s="1"/>
  <c r="P102" i="7" s="1"/>
  <c r="F24" i="5" a="1"/>
  <c r="F24" i="5" s="1"/>
  <c r="D16" i="2"/>
  <c r="F58" i="7"/>
  <c r="F126" i="7" s="1"/>
  <c r="F11" i="4" a="1"/>
  <c r="F11" i="4" s="1"/>
  <c r="F12" i="4" a="1"/>
  <c r="F12" i="4" s="1"/>
  <c r="C37" i="4"/>
  <c r="O37" i="4"/>
  <c r="E37" i="4"/>
  <c r="H37" i="4"/>
  <c r="L37" i="4"/>
  <c r="P37" i="4"/>
  <c r="G37" i="4"/>
  <c r="D37" i="4"/>
  <c r="I37" i="4"/>
  <c r="M37" i="4"/>
  <c r="K37" i="4"/>
  <c r="F37" i="4"/>
  <c r="J37" i="4"/>
  <c r="N37" i="4"/>
  <c r="E25" i="4"/>
  <c r="E17" i="2"/>
  <c r="D11" i="2"/>
  <c r="D9" i="2"/>
  <c r="D12" i="2"/>
  <c r="D15" i="2"/>
  <c r="G4" i="2"/>
  <c r="D8" i="2"/>
  <c r="D13" i="2"/>
  <c r="E18" i="2"/>
  <c r="D10" i="2"/>
  <c r="F60" i="7"/>
  <c r="F59" i="7"/>
  <c r="G59" i="7"/>
  <c r="O133" i="7"/>
  <c r="P59" i="7"/>
  <c r="H134" i="7"/>
  <c r="L134" i="7"/>
  <c r="P66" i="7"/>
  <c r="L66" i="7"/>
  <c r="M65" i="7"/>
  <c r="H66" i="7"/>
  <c r="G133" i="7"/>
  <c r="Q65" i="7"/>
  <c r="K133" i="7"/>
  <c r="I65" i="7"/>
  <c r="R64" i="7"/>
  <c r="P134" i="7"/>
  <c r="O64" i="7"/>
  <c r="G64" i="7"/>
  <c r="N64" i="7"/>
  <c r="J64" i="7"/>
  <c r="O66" i="7"/>
  <c r="K66" i="7"/>
  <c r="G66" i="7"/>
  <c r="F133" i="7"/>
  <c r="R133" i="7"/>
  <c r="N133" i="7"/>
  <c r="J133" i="7"/>
  <c r="S134" i="7"/>
  <c r="O134" i="7"/>
  <c r="K134" i="7"/>
  <c r="G134" i="7"/>
  <c r="S133" i="7"/>
  <c r="Q135" i="7"/>
  <c r="M135" i="7"/>
  <c r="I135" i="7"/>
  <c r="Q64" i="7"/>
  <c r="M64" i="7"/>
  <c r="I64" i="7"/>
  <c r="N66" i="7"/>
  <c r="J66" i="7"/>
  <c r="R66" i="7"/>
  <c r="F134" i="7"/>
  <c r="Q133" i="7"/>
  <c r="M133" i="7"/>
  <c r="I133" i="7"/>
  <c r="R134" i="7"/>
  <c r="N134" i="7"/>
  <c r="J134" i="7"/>
  <c r="K64" i="7"/>
  <c r="P64" i="7"/>
  <c r="L64" i="7"/>
  <c r="H64" i="7"/>
  <c r="P133" i="7"/>
  <c r="L133" i="7"/>
  <c r="H133" i="7"/>
  <c r="F149" i="7"/>
  <c r="F150" i="7" s="1"/>
  <c r="F65" i="7"/>
  <c r="F64" i="7"/>
  <c r="F144" i="7"/>
  <c r="G102" i="7"/>
  <c r="S102" i="7"/>
  <c r="Q102" i="7"/>
  <c r="F80" i="7"/>
  <c r="F81" i="7" s="1"/>
  <c r="N53" i="7"/>
  <c r="H115" i="7"/>
  <c r="H125" i="7" s="1"/>
  <c r="O54" i="7"/>
  <c r="I116" i="7"/>
  <c r="I125" i="7" s="1"/>
  <c r="M52" i="7"/>
  <c r="L51" i="7"/>
  <c r="Q125" i="7"/>
  <c r="J117" i="7"/>
  <c r="J125" i="7" s="1"/>
  <c r="N121" i="7"/>
  <c r="N125" i="7" s="1"/>
  <c r="K118" i="7"/>
  <c r="K125" i="7" s="1"/>
  <c r="O122" i="7"/>
  <c r="O125" i="7" s="1"/>
  <c r="M120" i="7"/>
  <c r="M125" i="7" s="1"/>
  <c r="L119" i="7"/>
  <c r="L125" i="7" s="1"/>
  <c r="P123" i="7"/>
  <c r="P125" i="7" s="1"/>
  <c r="K50" i="7"/>
  <c r="K59" i="7" s="1"/>
  <c r="H47" i="7"/>
  <c r="H59" i="7" s="1"/>
  <c r="I48" i="7"/>
  <c r="I59" i="7" s="1"/>
  <c r="J49" i="7"/>
  <c r="J59" i="7" s="1"/>
  <c r="H107" i="1"/>
  <c r="G107" i="1"/>
  <c r="H106" i="1"/>
  <c r="G106" i="1"/>
  <c r="H105" i="1"/>
  <c r="G105" i="1"/>
  <c r="H104" i="1"/>
  <c r="G104" i="1"/>
  <c r="H103" i="1"/>
  <c r="G103" i="1"/>
  <c r="H102" i="1"/>
  <c r="G102" i="1"/>
  <c r="H101" i="1"/>
  <c r="G101" i="1"/>
  <c r="H100" i="1"/>
  <c r="G100" i="1"/>
  <c r="H99" i="1"/>
  <c r="G99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90" i="1"/>
  <c r="G90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80" i="1"/>
  <c r="G80" i="1"/>
  <c r="H79" i="1"/>
  <c r="G79" i="1"/>
  <c r="H78" i="1"/>
  <c r="G78" i="1"/>
  <c r="H77" i="1"/>
  <c r="G77" i="1"/>
  <c r="H76" i="1"/>
  <c r="G76" i="1"/>
  <c r="D14" i="2" l="1"/>
  <c r="G142" i="7"/>
  <c r="H141" i="7"/>
  <c r="E28" i="7"/>
  <c r="E29" i="7" s="1"/>
  <c r="F27" i="7"/>
  <c r="C51" i="5" a="1"/>
  <c r="G73" i="7"/>
  <c r="G75" i="7" s="1"/>
  <c r="G20" i="4" s="1"/>
  <c r="F23" i="5"/>
  <c r="F15" i="5" a="1"/>
  <c r="F15" i="5" s="1"/>
  <c r="C5" i="2"/>
  <c r="H4" i="2"/>
  <c r="J4" i="2" s="1"/>
  <c r="E7" i="2"/>
  <c r="G128" i="7"/>
  <c r="G129" i="7" s="1"/>
  <c r="L136" i="7"/>
  <c r="Q67" i="7"/>
  <c r="M67" i="7"/>
  <c r="S136" i="7"/>
  <c r="P136" i="7"/>
  <c r="R136" i="7"/>
  <c r="F136" i="7"/>
  <c r="E137" i="7" s="1"/>
  <c r="G60" i="7"/>
  <c r="H60" i="7" s="1"/>
  <c r="I60" i="7" s="1"/>
  <c r="J60" i="7" s="1"/>
  <c r="K60" i="7" s="1"/>
  <c r="P67" i="7"/>
  <c r="Q136" i="7"/>
  <c r="O136" i="7"/>
  <c r="H136" i="7"/>
  <c r="L67" i="7"/>
  <c r="M57" i="7"/>
  <c r="M58" i="7" s="1"/>
  <c r="M126" i="7" s="1"/>
  <c r="M59" i="7"/>
  <c r="N57" i="7"/>
  <c r="N58" i="7" s="1"/>
  <c r="N126" i="7" s="1"/>
  <c r="N59" i="7"/>
  <c r="O57" i="7"/>
  <c r="O58" i="7" s="1"/>
  <c r="O126" i="7" s="1"/>
  <c r="O59" i="7"/>
  <c r="M136" i="7"/>
  <c r="K136" i="7"/>
  <c r="K137" i="7" s="1"/>
  <c r="L57" i="7"/>
  <c r="L58" i="7" s="1"/>
  <c r="L126" i="7" s="1"/>
  <c r="L59" i="7"/>
  <c r="G136" i="7"/>
  <c r="I67" i="7"/>
  <c r="N136" i="7"/>
  <c r="I136" i="7"/>
  <c r="H67" i="7"/>
  <c r="J136" i="7"/>
  <c r="K67" i="7"/>
  <c r="R67" i="7"/>
  <c r="O67" i="7"/>
  <c r="N67" i="7"/>
  <c r="G67" i="7"/>
  <c r="J67" i="7"/>
  <c r="G149" i="7"/>
  <c r="G150" i="7" s="1"/>
  <c r="G144" i="7"/>
  <c r="G23" i="5" s="1"/>
  <c r="F102" i="7"/>
  <c r="G80" i="7"/>
  <c r="G81" i="7" s="1"/>
  <c r="H57" i="7"/>
  <c r="H126" i="7" s="1"/>
  <c r="I57" i="7"/>
  <c r="I126" i="7" s="1"/>
  <c r="J57" i="7"/>
  <c r="J58" i="7" s="1"/>
  <c r="K57" i="7"/>
  <c r="K58" i="7" s="1"/>
  <c r="G127" i="7"/>
  <c r="H108" i="1"/>
  <c r="G108" i="1"/>
  <c r="L137" i="7" l="1"/>
  <c r="E12" i="2"/>
  <c r="K126" i="7"/>
  <c r="I141" i="7"/>
  <c r="H142" i="7"/>
  <c r="E11" i="2"/>
  <c r="J126" i="7"/>
  <c r="F28" i="7"/>
  <c r="F29" i="7" s="1"/>
  <c r="G27" i="7"/>
  <c r="C51" i="5"/>
  <c r="C52" i="5" s="1"/>
  <c r="D52" i="5"/>
  <c r="E52" i="5"/>
  <c r="H73" i="7"/>
  <c r="H75" i="7" s="1"/>
  <c r="H20" i="4" s="1"/>
  <c r="G5" i="2"/>
  <c r="C6" i="2" s="1"/>
  <c r="S137" i="7"/>
  <c r="H137" i="7"/>
  <c r="O137" i="7"/>
  <c r="L60" i="7"/>
  <c r="M60" i="7" s="1"/>
  <c r="N60" i="7" s="1"/>
  <c r="O60" i="7" s="1"/>
  <c r="P60" i="7" s="1"/>
  <c r="Q60" i="7" s="1"/>
  <c r="R60" i="7" s="1"/>
  <c r="R68" i="7"/>
  <c r="C84" i="7"/>
  <c r="C86" i="7" s="1"/>
  <c r="R24" i="4" s="1"/>
  <c r="N102" i="7"/>
  <c r="E15" i="2"/>
  <c r="L102" i="7"/>
  <c r="E13" i="2"/>
  <c r="O102" i="7"/>
  <c r="E16" i="2"/>
  <c r="M102" i="7"/>
  <c r="E14" i="2"/>
  <c r="Q137" i="7"/>
  <c r="N137" i="7"/>
  <c r="R137" i="7"/>
  <c r="G137" i="7"/>
  <c r="P137" i="7"/>
  <c r="M137" i="7"/>
  <c r="J137" i="7"/>
  <c r="I137" i="7"/>
  <c r="F137" i="7"/>
  <c r="H149" i="7"/>
  <c r="H150" i="7" s="1"/>
  <c r="H144" i="7"/>
  <c r="H23" i="5" s="1"/>
  <c r="J102" i="7"/>
  <c r="I58" i="7"/>
  <c r="E10" i="2" s="1"/>
  <c r="I102" i="7"/>
  <c r="H58" i="7"/>
  <c r="K102" i="7"/>
  <c r="H127" i="7"/>
  <c r="H128" i="7" s="1"/>
  <c r="H129" i="7" s="1"/>
  <c r="H80" i="7"/>
  <c r="H81" i="7" s="1"/>
  <c r="F67" i="7"/>
  <c r="E68" i="7" s="1"/>
  <c r="F7" i="2" s="1"/>
  <c r="E27" i="5" l="1" a="1"/>
  <c r="E27" i="5" s="1"/>
  <c r="H27" i="7"/>
  <c r="G28" i="7"/>
  <c r="J141" i="7"/>
  <c r="I142" i="7"/>
  <c r="I73" i="7"/>
  <c r="I75" i="7" s="1"/>
  <c r="I20" i="4" s="1"/>
  <c r="F25" i="5" a="1"/>
  <c r="F25" i="5" s="1"/>
  <c r="G6" i="2"/>
  <c r="C7" i="2" s="1"/>
  <c r="G7" i="2" s="1"/>
  <c r="H5" i="2"/>
  <c r="J5" i="2" s="1"/>
  <c r="F13" i="4" a="1"/>
  <c r="F13" i="4" s="1"/>
  <c r="F19" i="4" a="1"/>
  <c r="F19" i="4" s="1"/>
  <c r="E9" i="2"/>
  <c r="I149" i="7"/>
  <c r="I150" i="7" s="1"/>
  <c r="I144" i="7"/>
  <c r="I23" i="5" s="1"/>
  <c r="I127" i="7"/>
  <c r="I128" i="7" s="1"/>
  <c r="H102" i="7"/>
  <c r="I80" i="7"/>
  <c r="I81" i="7" s="1"/>
  <c r="J68" i="7"/>
  <c r="F12" i="2" s="1"/>
  <c r="P68" i="7"/>
  <c r="F18" i="2" s="1"/>
  <c r="L68" i="7"/>
  <c r="F14" i="2" s="1"/>
  <c r="H68" i="7"/>
  <c r="F10" i="2" s="1"/>
  <c r="N68" i="7"/>
  <c r="F16" i="2" s="1"/>
  <c r="K68" i="7"/>
  <c r="F13" i="2" s="1"/>
  <c r="I68" i="7"/>
  <c r="F11" i="2" s="1"/>
  <c r="Q68" i="7"/>
  <c r="F19" i="2" s="1"/>
  <c r="F68" i="7"/>
  <c r="O68" i="7"/>
  <c r="F17" i="2" s="1"/>
  <c r="M68" i="7"/>
  <c r="F15" i="2" s="1"/>
  <c r="G68" i="7"/>
  <c r="F9" i="2" s="1"/>
  <c r="J142" i="7" l="1"/>
  <c r="K141" i="7"/>
  <c r="G29" i="7"/>
  <c r="H28" i="7"/>
  <c r="H29" i="7" s="1"/>
  <c r="I27" i="7"/>
  <c r="C8" i="2"/>
  <c r="J73" i="7"/>
  <c r="J75" i="7" s="1"/>
  <c r="J20" i="4" s="1"/>
  <c r="J127" i="7"/>
  <c r="J128" i="7" s="1"/>
  <c r="J129" i="7" s="1"/>
  <c r="H6" i="2"/>
  <c r="J6" i="2" s="1"/>
  <c r="H7" i="2"/>
  <c r="F8" i="2"/>
  <c r="F23" i="4" a="1"/>
  <c r="F23" i="4" s="1"/>
  <c r="I129" i="7"/>
  <c r="J149" i="7"/>
  <c r="J150" i="7" s="1"/>
  <c r="J144" i="7"/>
  <c r="J23" i="5" s="1"/>
  <c r="J80" i="7"/>
  <c r="J81" i="7" s="1"/>
  <c r="J27" i="7" l="1"/>
  <c r="I28" i="7"/>
  <c r="K142" i="7"/>
  <c r="K144" i="7" s="1"/>
  <c r="K23" i="5" s="1"/>
  <c r="L141" i="7"/>
  <c r="G8" i="2"/>
  <c r="C9" i="2" s="1"/>
  <c r="G9" i="2" s="1"/>
  <c r="K73" i="7"/>
  <c r="K75" i="7" s="1"/>
  <c r="K20" i="4" s="1"/>
  <c r="K127" i="7"/>
  <c r="K128" i="7" s="1"/>
  <c r="K129" i="7" s="1"/>
  <c r="K150" i="7"/>
  <c r="K80" i="7"/>
  <c r="K81" i="7" s="1"/>
  <c r="M141" i="7" l="1"/>
  <c r="L142" i="7"/>
  <c r="L144" i="7" s="1"/>
  <c r="L23" i="5" s="1"/>
  <c r="I29" i="7"/>
  <c r="J28" i="7"/>
  <c r="J29" i="7" s="1"/>
  <c r="K27" i="7"/>
  <c r="H8" i="2"/>
  <c r="L127" i="7"/>
  <c r="L128" i="7" s="1"/>
  <c r="L129" i="7" s="1"/>
  <c r="L73" i="7"/>
  <c r="L75" i="7" s="1"/>
  <c r="L20" i="4" s="1"/>
  <c r="C10" i="2"/>
  <c r="G10" i="2" s="1"/>
  <c r="H9" i="2"/>
  <c r="L149" i="7"/>
  <c r="L150" i="7" s="1"/>
  <c r="L80" i="7"/>
  <c r="L81" i="7" s="1"/>
  <c r="K28" i="7" l="1"/>
  <c r="K29" i="7" s="1"/>
  <c r="L27" i="7"/>
  <c r="M142" i="7"/>
  <c r="M144" i="7" s="1"/>
  <c r="M23" i="5" s="1"/>
  <c r="N141" i="7"/>
  <c r="C11" i="2"/>
  <c r="G11" i="2" s="1"/>
  <c r="M127" i="7"/>
  <c r="M128" i="7" s="1"/>
  <c r="M129" i="7" s="1"/>
  <c r="M73" i="7"/>
  <c r="M75" i="7" s="1"/>
  <c r="M20" i="4" s="1"/>
  <c r="H10" i="2"/>
  <c r="M149" i="7"/>
  <c r="M150" i="7" s="1"/>
  <c r="M80" i="7"/>
  <c r="M81" i="7" s="1"/>
  <c r="L28" i="7" l="1"/>
  <c r="L29" i="7" s="1"/>
  <c r="M27" i="7"/>
  <c r="N142" i="7"/>
  <c r="N144" i="7" s="1"/>
  <c r="N23" i="5" s="1"/>
  <c r="O141" i="7"/>
  <c r="N127" i="7"/>
  <c r="N128" i="7" s="1"/>
  <c r="N129" i="7" s="1"/>
  <c r="N73" i="7"/>
  <c r="N75" i="7" s="1"/>
  <c r="N20" i="4" s="1"/>
  <c r="C12" i="2"/>
  <c r="G12" i="2" s="1"/>
  <c r="H11" i="2"/>
  <c r="N149" i="7"/>
  <c r="N150" i="7" s="1"/>
  <c r="N80" i="7"/>
  <c r="N81" i="7" s="1"/>
  <c r="O142" i="7" l="1"/>
  <c r="P141" i="7"/>
  <c r="N27" i="7"/>
  <c r="M28" i="7"/>
  <c r="M29" i="7" s="1"/>
  <c r="O127" i="7"/>
  <c r="O128" i="7" s="1"/>
  <c r="O129" i="7" s="1"/>
  <c r="O73" i="7"/>
  <c r="O75" i="7" s="1"/>
  <c r="O20" i="4" s="1"/>
  <c r="C13" i="2"/>
  <c r="G13" i="2" s="1"/>
  <c r="C14" i="2" s="1"/>
  <c r="H12" i="2"/>
  <c r="O149" i="7"/>
  <c r="O150" i="7" s="1"/>
  <c r="O144" i="7"/>
  <c r="O23" i="5" s="1"/>
  <c r="O80" i="7"/>
  <c r="O81" i="7" s="1"/>
  <c r="N28" i="7" l="1"/>
  <c r="N29" i="7" s="1"/>
  <c r="O27" i="7"/>
  <c r="Q141" i="7"/>
  <c r="P142" i="7"/>
  <c r="P127" i="7"/>
  <c r="P128" i="7" s="1"/>
  <c r="P129" i="7" s="1"/>
  <c r="P73" i="7"/>
  <c r="P75" i="7" s="1"/>
  <c r="P20" i="4" s="1"/>
  <c r="H13" i="2"/>
  <c r="G14" i="2"/>
  <c r="P149" i="7"/>
  <c r="P150" i="7" s="1"/>
  <c r="P144" i="7"/>
  <c r="P23" i="5" s="1"/>
  <c r="P80" i="7"/>
  <c r="P81" i="7" s="1"/>
  <c r="R141" i="7" l="1"/>
  <c r="Q142" i="7"/>
  <c r="O28" i="7"/>
  <c r="O29" i="7" s="1"/>
  <c r="P27" i="7"/>
  <c r="Q127" i="7"/>
  <c r="Q128" i="7" s="1"/>
  <c r="Q129" i="7" s="1"/>
  <c r="Q73" i="7"/>
  <c r="Q75" i="7" s="1"/>
  <c r="Q20" i="4" s="1"/>
  <c r="R73" i="7"/>
  <c r="R75" i="7" s="1"/>
  <c r="R20" i="4" s="1"/>
  <c r="C15" i="2"/>
  <c r="G15" i="2" s="1"/>
  <c r="C16" i="2" s="1"/>
  <c r="H14" i="2"/>
  <c r="Q149" i="7"/>
  <c r="Q150" i="7" s="1"/>
  <c r="Q144" i="7"/>
  <c r="Q23" i="5" s="1"/>
  <c r="Q80" i="7"/>
  <c r="Q81" i="7" s="1"/>
  <c r="R80" i="7"/>
  <c r="R81" i="7" s="1"/>
  <c r="P28" i="7" l="1"/>
  <c r="P29" i="7" s="1"/>
  <c r="Q27" i="7"/>
  <c r="R142" i="7"/>
  <c r="S141" i="7"/>
  <c r="S142" i="7" s="1"/>
  <c r="S144" i="7" s="1"/>
  <c r="R127" i="7"/>
  <c r="R128" i="7" s="1"/>
  <c r="R129" i="7" s="1"/>
  <c r="F22" i="5" s="1" a="1"/>
  <c r="F22" i="5" s="1"/>
  <c r="H15" i="2"/>
  <c r="G16" i="2"/>
  <c r="F15" i="4" a="1"/>
  <c r="F15" i="4" s="1"/>
  <c r="F14" i="4" a="1"/>
  <c r="F14" i="4" s="1"/>
  <c r="R149" i="7"/>
  <c r="R150" i="7" s="1"/>
  <c r="S149" i="7"/>
  <c r="S150" i="7" s="1"/>
  <c r="R144" i="7"/>
  <c r="R23" i="5" s="1"/>
  <c r="R27" i="7" l="1"/>
  <c r="Q28" i="7"/>
  <c r="Q29" i="7" s="1"/>
  <c r="G16" i="5" a="1"/>
  <c r="G16" i="5" s="1"/>
  <c r="S127" i="7"/>
  <c r="S128" i="7" s="1"/>
  <c r="S129" i="7" s="1"/>
  <c r="F18" i="5" a="1"/>
  <c r="F18" i="5" s="1"/>
  <c r="S23" i="5"/>
  <c r="F17" i="5" a="1"/>
  <c r="F17" i="5" s="1"/>
  <c r="C17" i="2"/>
  <c r="G17" i="2" s="1"/>
  <c r="C18" i="2" s="1"/>
  <c r="H16" i="2"/>
  <c r="F16" i="4"/>
  <c r="P16" i="4"/>
  <c r="J16" i="4"/>
  <c r="O16" i="4"/>
  <c r="M16" i="4"/>
  <c r="I16" i="4"/>
  <c r="K16" i="4"/>
  <c r="G16" i="4"/>
  <c r="N16" i="4"/>
  <c r="L16" i="4"/>
  <c r="Q16" i="4"/>
  <c r="R16" i="4"/>
  <c r="H16" i="4"/>
  <c r="R28" i="7" l="1"/>
  <c r="C54" i="4" a="1"/>
  <c r="C54" i="4" s="1"/>
  <c r="B68" i="5" s="1" a="1"/>
  <c r="B68" i="5" s="1"/>
  <c r="S16" i="5"/>
  <c r="S22" i="5" s="1"/>
  <c r="S25" i="5" s="1"/>
  <c r="F19" i="5"/>
  <c r="F20" i="5" s="1"/>
  <c r="F21" i="5" s="1"/>
  <c r="F29" i="5" s="1"/>
  <c r="F50" i="5" s="1"/>
  <c r="H17" i="2"/>
  <c r="G18" i="2"/>
  <c r="C19" i="2" s="1"/>
  <c r="F17" i="4"/>
  <c r="F18" i="4" s="1"/>
  <c r="I7" i="2" s="1"/>
  <c r="G19" i="5"/>
  <c r="G20" i="5" s="1"/>
  <c r="G21" i="5" s="1"/>
  <c r="G29" i="5" s="1"/>
  <c r="G50" i="5" s="1"/>
  <c r="L19" i="5"/>
  <c r="L20" i="5" s="1"/>
  <c r="L21" i="5" s="1"/>
  <c r="L29" i="5" s="1"/>
  <c r="L50" i="5" s="1"/>
  <c r="L52" i="5" s="1"/>
  <c r="K19" i="5"/>
  <c r="M19" i="5"/>
  <c r="M20" i="5" s="1"/>
  <c r="M21" i="5" s="1"/>
  <c r="M29" i="5" s="1"/>
  <c r="M50" i="5" s="1"/>
  <c r="M52" i="5" s="1"/>
  <c r="I19" i="5"/>
  <c r="I20" i="5" s="1"/>
  <c r="I21" i="5" s="1"/>
  <c r="I29" i="5" s="1"/>
  <c r="I50" i="5" s="1"/>
  <c r="I52" i="5" s="1"/>
  <c r="H19" i="5"/>
  <c r="H20" i="5" s="1"/>
  <c r="H21" i="5" s="1"/>
  <c r="H29" i="5" s="1"/>
  <c r="H50" i="5" s="1"/>
  <c r="H52" i="5" s="1"/>
  <c r="R19" i="5"/>
  <c r="R20" i="5" s="1"/>
  <c r="R21" i="5" s="1"/>
  <c r="P19" i="5"/>
  <c r="P20" i="5" s="1"/>
  <c r="P21" i="5" s="1"/>
  <c r="P29" i="5" s="1"/>
  <c r="P50" i="5" s="1"/>
  <c r="P52" i="5" s="1"/>
  <c r="J19" i="5"/>
  <c r="N19" i="5"/>
  <c r="Q19" i="5"/>
  <c r="Q20" i="5" s="1"/>
  <c r="Q21" i="5" s="1"/>
  <c r="Q29" i="5" s="1"/>
  <c r="Q50" i="5" s="1"/>
  <c r="Q52" i="5" s="1"/>
  <c r="O19" i="5"/>
  <c r="L17" i="4"/>
  <c r="L18" i="4" s="1"/>
  <c r="L25" i="4" s="1"/>
  <c r="J17" i="4"/>
  <c r="J18" i="4" s="1"/>
  <c r="J25" i="4" s="1"/>
  <c r="R17" i="4"/>
  <c r="R18" i="4" s="1"/>
  <c r="R25" i="4" s="1"/>
  <c r="G17" i="4"/>
  <c r="G18" i="4" s="1"/>
  <c r="G25" i="4" s="1"/>
  <c r="O17" i="4"/>
  <c r="Q17" i="4"/>
  <c r="Q18" i="4" s="1"/>
  <c r="Q25" i="4" s="1"/>
  <c r="K17" i="4"/>
  <c r="K18" i="4" s="1"/>
  <c r="K25" i="4" s="1"/>
  <c r="I17" i="4"/>
  <c r="I18" i="4" s="1"/>
  <c r="I25" i="4" s="1"/>
  <c r="H17" i="4"/>
  <c r="H18" i="4" s="1"/>
  <c r="H25" i="4" s="1"/>
  <c r="N17" i="4"/>
  <c r="M17" i="4"/>
  <c r="M18" i="4" s="1"/>
  <c r="M25" i="4" s="1"/>
  <c r="P17" i="4"/>
  <c r="P18" i="4" s="1"/>
  <c r="P25" i="4" s="1"/>
  <c r="R29" i="7" l="1"/>
  <c r="C56" i="4" s="1" a="1"/>
  <c r="C55" i="4" a="1"/>
  <c r="C55" i="4" s="1"/>
  <c r="B69" i="5" s="1" a="1"/>
  <c r="B69" i="5" s="1"/>
  <c r="O18" i="4"/>
  <c r="O25" i="4" s="1"/>
  <c r="N18" i="4"/>
  <c r="N25" i="4" s="1"/>
  <c r="S19" i="5"/>
  <c r="S20" i="5" s="1"/>
  <c r="S21" i="5" s="1"/>
  <c r="F52" i="5"/>
  <c r="H18" i="2"/>
  <c r="I12" i="2"/>
  <c r="J12" i="2" s="1"/>
  <c r="J7" i="2"/>
  <c r="I19" i="2"/>
  <c r="I18" i="2"/>
  <c r="I9" i="2"/>
  <c r="J9" i="2" s="1"/>
  <c r="I13" i="2"/>
  <c r="J13" i="2" s="1"/>
  <c r="I14" i="2"/>
  <c r="J14" i="2" s="1"/>
  <c r="I11" i="2"/>
  <c r="J11" i="2" s="1"/>
  <c r="I17" i="2"/>
  <c r="J17" i="2" s="1"/>
  <c r="I10" i="2"/>
  <c r="J10" i="2" s="1"/>
  <c r="I8" i="2"/>
  <c r="J8" i="2" s="1"/>
  <c r="G19" i="2"/>
  <c r="G20" i="2" s="1"/>
  <c r="G52" i="5"/>
  <c r="J20" i="5"/>
  <c r="J21" i="5" s="1"/>
  <c r="J29" i="5" s="1"/>
  <c r="J50" i="5" s="1"/>
  <c r="J52" i="5" s="1"/>
  <c r="O20" i="5"/>
  <c r="O21" i="5" s="1"/>
  <c r="O29" i="5" s="1"/>
  <c r="O50" i="5" s="1"/>
  <c r="O52" i="5" s="1"/>
  <c r="K20" i="5"/>
  <c r="K21" i="5" s="1"/>
  <c r="K29" i="5" s="1"/>
  <c r="K50" i="5" s="1"/>
  <c r="K52" i="5" s="1"/>
  <c r="N20" i="5"/>
  <c r="N21" i="5" s="1"/>
  <c r="N29" i="5" s="1"/>
  <c r="N50" i="5" s="1"/>
  <c r="N52" i="5" s="1"/>
  <c r="F25" i="4"/>
  <c r="C56" i="4" l="1"/>
  <c r="L57" i="4"/>
  <c r="M57" i="4"/>
  <c r="N57" i="4"/>
  <c r="O57" i="4"/>
  <c r="I57" i="4"/>
  <c r="P57" i="4"/>
  <c r="Q57" i="4"/>
  <c r="R57" i="4"/>
  <c r="D57" i="4"/>
  <c r="J57" i="4"/>
  <c r="H57" i="4"/>
  <c r="E57" i="4"/>
  <c r="F57" i="4"/>
  <c r="G57" i="4"/>
  <c r="K57" i="4"/>
  <c r="S29" i="5"/>
  <c r="I16" i="2"/>
  <c r="J16" i="2" s="1"/>
  <c r="I15" i="2"/>
  <c r="J15" i="2" s="1"/>
  <c r="J18" i="2"/>
  <c r="H19" i="2"/>
  <c r="H20" i="2" s="1"/>
  <c r="C36" i="4" a="1"/>
  <c r="C36" i="4" s="1"/>
  <c r="C42" i="4" s="1"/>
  <c r="C57" i="4" l="1"/>
  <c r="C58" i="4" s="1" a="1"/>
  <c r="C70" i="5" a="1"/>
  <c r="C70" i="5" s="1"/>
  <c r="R28" i="5"/>
  <c r="R29" i="5" s="1"/>
  <c r="R50" i="5" s="1"/>
  <c r="R52" i="5" s="1"/>
  <c r="C54" i="5" s="1"/>
  <c r="I20" i="2"/>
  <c r="J20" i="2" s="1"/>
  <c r="J19" i="2"/>
  <c r="F38" i="4"/>
  <c r="M38" i="4"/>
  <c r="I38" i="4"/>
  <c r="J38" i="4"/>
  <c r="O38" i="4"/>
  <c r="P38" i="4"/>
  <c r="R38" i="4"/>
  <c r="E38" i="4"/>
  <c r="C38" i="4"/>
  <c r="Q38" i="4"/>
  <c r="H38" i="4"/>
  <c r="G38" i="4"/>
  <c r="D38" i="4"/>
  <c r="L38" i="4"/>
  <c r="N38" i="4"/>
  <c r="K38" i="4"/>
  <c r="K59" i="4" l="1"/>
  <c r="I59" i="4"/>
  <c r="C58" i="4"/>
  <c r="R59" i="4"/>
  <c r="Q59" i="4"/>
  <c r="P59" i="4"/>
  <c r="J59" i="4"/>
  <c r="G59" i="4"/>
  <c r="F59" i="4"/>
  <c r="E59" i="4"/>
  <c r="D59" i="4"/>
  <c r="O59" i="4"/>
  <c r="N59" i="4"/>
  <c r="M59" i="4"/>
  <c r="L59" i="4"/>
  <c r="H59" i="4"/>
  <c r="C71" i="5" a="1"/>
  <c r="C71" i="5" s="1"/>
  <c r="C56" i="5"/>
  <c r="C40" i="4"/>
  <c r="C59" i="4" l="1"/>
  <c r="C61" i="4" s="1"/>
  <c r="C63" i="4" s="1"/>
  <c r="C72" i="5" a="1"/>
  <c r="L74" i="5" l="1"/>
  <c r="G74" i="5"/>
  <c r="O74" i="5"/>
  <c r="D74" i="5"/>
  <c r="F74" i="5"/>
  <c r="M74" i="5"/>
  <c r="H74" i="5"/>
  <c r="P74" i="5"/>
  <c r="R73" i="5"/>
  <c r="R74" i="5" s="1"/>
  <c r="C72" i="5"/>
  <c r="C74" i="5" s="1"/>
  <c r="J74" i="5"/>
  <c r="I74" i="5"/>
  <c r="Q74" i="5"/>
  <c r="K74" i="5"/>
  <c r="E74" i="5"/>
  <c r="N74" i="5"/>
  <c r="C76" i="5" l="1"/>
  <c r="C78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<sst xmlns="http://schemas.openxmlformats.org/spreadsheetml/2006/main" count="788" uniqueCount="238">
  <si>
    <t>A.</t>
  </si>
  <si>
    <t>Cost Of Equity</t>
  </si>
  <si>
    <t>Risk Free Rate</t>
  </si>
  <si>
    <t xml:space="preserve">4.70% </t>
  </si>
  <si>
    <t>Beta</t>
  </si>
  <si>
    <t>1.53</t>
  </si>
  <si>
    <t>ERP</t>
  </si>
  <si>
    <t>5.88%</t>
  </si>
  <si>
    <t>Region</t>
  </si>
  <si>
    <t>%</t>
  </si>
  <si>
    <t>United States</t>
  </si>
  <si>
    <t>Europa</t>
  </si>
  <si>
    <t>Latin America</t>
  </si>
  <si>
    <t>4.33%</t>
  </si>
  <si>
    <t>6.28%</t>
  </si>
  <si>
    <t>9.15%</t>
  </si>
  <si>
    <t>Total</t>
  </si>
  <si>
    <t>Share Price</t>
  </si>
  <si>
    <t>Number Of Shares Outstanding</t>
  </si>
  <si>
    <t>Market Value Of Equity</t>
  </si>
  <si>
    <t>$ 24.00</t>
  </si>
  <si>
    <t>B.</t>
  </si>
  <si>
    <t>Cost Of Debt</t>
  </si>
  <si>
    <t>BBB Rating</t>
  </si>
  <si>
    <t>Tax Rate</t>
  </si>
  <si>
    <t>4.70%</t>
  </si>
  <si>
    <t>1.50%</t>
  </si>
  <si>
    <t xml:space="preserve">Book Value Of Interest Debt </t>
  </si>
  <si>
    <t>Interest Expense</t>
  </si>
  <si>
    <t>Maturity</t>
  </si>
  <si>
    <t>Pre-tax Cost Of Debt</t>
  </si>
  <si>
    <t>$ 5.8 (Million)</t>
  </si>
  <si>
    <t>$ 200.000</t>
  </si>
  <si>
    <t>4 years</t>
  </si>
  <si>
    <t>6.20%</t>
  </si>
  <si>
    <t>Market Value Of Interest Debt</t>
  </si>
  <si>
    <t>Market Value Of Lease</t>
  </si>
  <si>
    <t>Total Market Value Of Debt</t>
  </si>
  <si>
    <t>-</t>
  </si>
  <si>
    <t>C.</t>
  </si>
  <si>
    <t>Cost Of Capital</t>
  </si>
  <si>
    <t>Convert Book Value Interest To Market Value Interest</t>
  </si>
  <si>
    <t>Market Value Of Equity / E</t>
  </si>
  <si>
    <t>Market Value Of Debt / D</t>
  </si>
  <si>
    <t>13.69%</t>
  </si>
  <si>
    <t>4.65%</t>
  </si>
  <si>
    <r>
      <t>$ 232.80 (</t>
    </r>
    <r>
      <rPr>
        <i/>
        <sz val="12"/>
        <color theme="1"/>
        <rFont val="Calibri"/>
        <family val="2"/>
        <scheme val="minor"/>
      </rPr>
      <t>million)</t>
    </r>
  </si>
  <si>
    <t xml:space="preserve">$ 5.587,20 </t>
  </si>
  <si>
    <t>$ 5.587,20</t>
  </si>
  <si>
    <t>$ 5,25</t>
  </si>
  <si>
    <t>43.47%</t>
  </si>
  <si>
    <t>Median Beta (Peer Group Firm)</t>
  </si>
  <si>
    <t>Median D/E (Peer Group Firm)</t>
  </si>
  <si>
    <t>Median Cash/Value (Peer Group Firm)</t>
  </si>
  <si>
    <t>Debt (Firm Company)</t>
  </si>
  <si>
    <t>Equity (Firm Company)</t>
  </si>
  <si>
    <t>-Eliminate The Debt Effect (Peer Group Firm)</t>
  </si>
  <si>
    <t>-Eliminate The Cash Effect (Peer Group Firm)</t>
  </si>
  <si>
    <t xml:space="preserve">Equity / (Equity + Debt) </t>
  </si>
  <si>
    <t xml:space="preserve">Debt / (Equity + Debt) </t>
  </si>
  <si>
    <t>Equity</t>
  </si>
  <si>
    <t>Debt</t>
  </si>
  <si>
    <t>0.2</t>
  </si>
  <si>
    <t>Cost Of Equity (Celsius Beverages)</t>
  </si>
  <si>
    <t>Cost Of Debt (Celsius Beverages)</t>
  </si>
  <si>
    <t>Cost Of Capital (Celsius Beverages)</t>
  </si>
  <si>
    <t>Cost Of Equity (Celsius Eats)</t>
  </si>
  <si>
    <t>Cost Of Debt (Celsius Eats)</t>
  </si>
  <si>
    <t>Celsius Beverages</t>
  </si>
  <si>
    <t>Celsius Eats</t>
  </si>
  <si>
    <t>Hurdle Rate</t>
  </si>
  <si>
    <t>Company Name</t>
  </si>
  <si>
    <t>Total Debt</t>
  </si>
  <si>
    <t>Market Cap</t>
  </si>
  <si>
    <t>Cash</t>
  </si>
  <si>
    <t>D/E</t>
  </si>
  <si>
    <t>Cash/Value</t>
  </si>
  <si>
    <t>Revenues</t>
  </si>
  <si>
    <t>Operating Income</t>
  </si>
  <si>
    <t>General Mills, Inc. (NYSE:GIS)</t>
  </si>
  <si>
    <t>Seneca Foods Corporation (NasdaqGS:SENE.A)</t>
  </si>
  <si>
    <t>Flowers Foods, Inc. (NYSE:FLO)</t>
  </si>
  <si>
    <t>The Campbell's Company (NasdaqGS:CPB)</t>
  </si>
  <si>
    <t>Kellanova (NYSE:K)</t>
  </si>
  <si>
    <t>The Kraft Heinz Company (NasdaqGS:KHC)</t>
  </si>
  <si>
    <t>Conagra Brands, Inc. (NYSE:CAG)</t>
  </si>
  <si>
    <t>The Hershey Company (NYSE:HSY)</t>
  </si>
  <si>
    <t>John B. Sanfilippo &amp; Son, Inc. (NasdaqGS:JBSS)</t>
  </si>
  <si>
    <t>Mondelez International, Inc. (NasdaqGS:MDLZ)</t>
  </si>
  <si>
    <t>Tootsie Roll Industries, Inc. (NYSE:TR)</t>
  </si>
  <si>
    <t>Tyson Foods, Inc. (NYSE:TSN)</t>
  </si>
  <si>
    <t>McCormick &amp; Company, Incorporated (NYSE:MKC)</t>
  </si>
  <si>
    <t>Lassonde Industries Inc. (TSX:LAS.A)</t>
  </si>
  <si>
    <t>B&amp;G Foods, Inc. (NYSE:BGS)</t>
  </si>
  <si>
    <t>The Hain Celestial Group, Inc. (NasdaqGS:HAIN)</t>
  </si>
  <si>
    <t>Hormel Foods Corporation (NYSE:HRL)</t>
  </si>
  <si>
    <t>The Simply Good Foods Company (NasdaqCM:SMPL)</t>
  </si>
  <si>
    <t>The J. M. Smucker Company (NYSE:SJM)</t>
  </si>
  <si>
    <t>Post Holdings, Inc. (NYSE:POST)</t>
  </si>
  <si>
    <t>Utz Brands, Inc. (NYSE:UTZ)</t>
  </si>
  <si>
    <t>Lancaster Colony Corporation (NasdaqGS:LANC)</t>
  </si>
  <si>
    <t>TreeHouse Foods, Inc. (NYSE:THS)</t>
  </si>
  <si>
    <t>High Liner Foods Incorporated (TSX:HLF)</t>
  </si>
  <si>
    <t>Rogers Sugar Inc. (TSX:RSI)</t>
  </si>
  <si>
    <t>J&amp;J Snack Foods Corp. (NasdaqGS:JJSF)</t>
  </si>
  <si>
    <t>Saputo Inc. (TSX:SAP)</t>
  </si>
  <si>
    <t>Premium Brands Holdings Corporation (TSX:PBH)</t>
  </si>
  <si>
    <t>Lamb Weston Holdings, Inc. (NYSE:LW)</t>
  </si>
  <si>
    <t>Calavo Growers, Inc. (NasdaqGS:CVGW)</t>
  </si>
  <si>
    <t>SunOpta Inc. (NasdaqGS:STKL)</t>
  </si>
  <si>
    <t>Mama's Creations, Inc. (NasdaqCM:MAMA)</t>
  </si>
  <si>
    <t>Median</t>
  </si>
  <si>
    <t>Exhibit 1: Equity Risk Premium (ERP)</t>
  </si>
  <si>
    <t>Exhibit 2: Peer Group Firm (Celsius Eats)</t>
  </si>
  <si>
    <t>+Adding A Debt Effect (Firm Company)</t>
  </si>
  <si>
    <t>Year</t>
  </si>
  <si>
    <t>Number Of Products</t>
  </si>
  <si>
    <t>Revenue Per Product</t>
  </si>
  <si>
    <t>EBIT</t>
  </si>
  <si>
    <t>Taxes</t>
  </si>
  <si>
    <t>Salvage Value</t>
  </si>
  <si>
    <t>Cash Flow To The Firm</t>
  </si>
  <si>
    <t>Up-Front Acqusitions</t>
  </si>
  <si>
    <t>Capital Investment in new food products</t>
  </si>
  <si>
    <t xml:space="preserve">Logistics System </t>
  </si>
  <si>
    <t>Capacity Used by Celsius Beverage</t>
  </si>
  <si>
    <t>Capacity Used by Celsius Eats</t>
  </si>
  <si>
    <t>Expansion Investment</t>
  </si>
  <si>
    <t>Initial Investment</t>
  </si>
  <si>
    <t>Dep. Invest. New Food Products (year 3)</t>
  </si>
  <si>
    <t>Dep. Invest. New Food Products (year 4)</t>
  </si>
  <si>
    <t>Dep. Invest. New Food Products (year 5)</t>
  </si>
  <si>
    <t>Dep. Invest. New Food Products (year 6)</t>
  </si>
  <si>
    <t>Dep. Invest. New Food Products (year 7)</t>
  </si>
  <si>
    <t>Dep. Invest. New Food Products (year 8)</t>
  </si>
  <si>
    <t>Dep. Invest. New Food Products (year 9)</t>
  </si>
  <si>
    <t>Dep. Invest. New Food Products (year 10)</t>
  </si>
  <si>
    <t>Dep. Invest. New Food Products (year 11)</t>
  </si>
  <si>
    <t>Dep. Invest. New Food Products (year 12)</t>
  </si>
  <si>
    <t>Dep. Logistic System</t>
  </si>
  <si>
    <t>Total Depriciation</t>
  </si>
  <si>
    <t>Incremental Depreciation</t>
  </si>
  <si>
    <t>Working Capital</t>
  </si>
  <si>
    <t>Ending Book Value (years)</t>
  </si>
  <si>
    <t>Inventory</t>
  </si>
  <si>
    <t>Accounts Receivable</t>
  </si>
  <si>
    <t>-Accounts Payable</t>
  </si>
  <si>
    <t>Non-Cash Working Capital</t>
  </si>
  <si>
    <t>D.</t>
  </si>
  <si>
    <t xml:space="preserve">Allocted Expenses </t>
  </si>
  <si>
    <t>Exitisting G&amp;A</t>
  </si>
  <si>
    <t>Allocated To Division</t>
  </si>
  <si>
    <t>New G&amp;A</t>
  </si>
  <si>
    <t>E.</t>
  </si>
  <si>
    <t>Advertising Expense</t>
  </si>
  <si>
    <t>Without Eats</t>
  </si>
  <si>
    <t>With Eats</t>
  </si>
  <si>
    <t>Differential Cost</t>
  </si>
  <si>
    <t>Total Revenues</t>
  </si>
  <si>
    <t>Direct Operasional (40%)</t>
  </si>
  <si>
    <t>Changes In Working Capital</t>
  </si>
  <si>
    <t>Total Allocated &amp; Incremental G&amp;A</t>
  </si>
  <si>
    <t>F.</t>
  </si>
  <si>
    <t>FINITE LIFE</t>
  </si>
  <si>
    <t>Capital Expendetures</t>
  </si>
  <si>
    <t>INFINITE LIFE</t>
  </si>
  <si>
    <t>Capital Maintenance</t>
  </si>
  <si>
    <t>16</t>
  </si>
  <si>
    <t xml:space="preserve">Capital Expendeture </t>
  </si>
  <si>
    <t>Ending Book Value</t>
  </si>
  <si>
    <t>G.</t>
  </si>
  <si>
    <t>Ending Book Value (Year 15)</t>
  </si>
  <si>
    <t>Non-Cash Working Capital (Year 15)</t>
  </si>
  <si>
    <t>Depreciation</t>
  </si>
  <si>
    <t>Depreciation On Expansion (10 years)</t>
  </si>
  <si>
    <t>Depreciation (Without Dep.Logistic)</t>
  </si>
  <si>
    <t>Total Depreciation New Food Products</t>
  </si>
  <si>
    <t>Depreciation Capital Maintenance (years)</t>
  </si>
  <si>
    <t xml:space="preserve">Depreciation </t>
  </si>
  <si>
    <t>- Depreciation</t>
  </si>
  <si>
    <t>+ Working Capital</t>
  </si>
  <si>
    <t>Ending BV</t>
  </si>
  <si>
    <t>Beginning BV</t>
  </si>
  <si>
    <t>+ Capital Expendeture</t>
  </si>
  <si>
    <t>- Direct Oper. Exp.</t>
  </si>
  <si>
    <t>- Allocated &amp; Incerm. G&amp;A</t>
  </si>
  <si>
    <t>- Advertising Exp</t>
  </si>
  <si>
    <t>Revenues Per Product</t>
  </si>
  <si>
    <t>Inflation Rates</t>
  </si>
  <si>
    <t>Gross Margin (Direct Opr Expense)</t>
  </si>
  <si>
    <t>Allocated G&amp;A In Celsius Eats</t>
  </si>
  <si>
    <t xml:space="preserve">Growth G&amp;A </t>
  </si>
  <si>
    <t>Growth In Incremental G&amp;A</t>
  </si>
  <si>
    <t>Direct G&amp;A Cost Of Good</t>
  </si>
  <si>
    <t>G&amp;A Cost</t>
  </si>
  <si>
    <t>Cost Of Logistics</t>
  </si>
  <si>
    <t>EBIT (1-t)</t>
  </si>
  <si>
    <t>+ Depreciation</t>
  </si>
  <si>
    <t>+ Fixed Allocated Exp (1-t)</t>
  </si>
  <si>
    <t>- Cap Ex</t>
  </si>
  <si>
    <t>- Opp. Cost Of Logistics System</t>
  </si>
  <si>
    <t>- Change In Working Capital</t>
  </si>
  <si>
    <t>+ Salvage Value</t>
  </si>
  <si>
    <t xml:space="preserve">Cumulated Cost Of Capital </t>
  </si>
  <si>
    <t>Incremental Cash Flow</t>
  </si>
  <si>
    <t>PV Of Cash Flows</t>
  </si>
  <si>
    <t>NPV</t>
  </si>
  <si>
    <t>IRR</t>
  </si>
  <si>
    <t>Summary Of Inputs Celsius Eats</t>
  </si>
  <si>
    <t>Increased Revenues</t>
  </si>
  <si>
    <t>Growth Revenues /year</t>
  </si>
  <si>
    <t xml:space="preserve">Operation Margin </t>
  </si>
  <si>
    <t>Summary Of Inputs Celsius Beverages</t>
  </si>
  <si>
    <t>Celsius Eats (NPV &amp; IRR)</t>
  </si>
  <si>
    <t>Increased Beverage Sales</t>
  </si>
  <si>
    <t>Incremental Reveneu</t>
  </si>
  <si>
    <t>Revenue (Celsius Eats)</t>
  </si>
  <si>
    <t>Revenue (Celsius Beverages)</t>
  </si>
  <si>
    <t>Increased Beverages Sales</t>
  </si>
  <si>
    <t>Operation Income</t>
  </si>
  <si>
    <t>PV Of Cash Flow</t>
  </si>
  <si>
    <t>Operation Income After-Tax (1-t)</t>
  </si>
  <si>
    <t>ROC</t>
  </si>
  <si>
    <t>Overall Project NPV</t>
  </si>
  <si>
    <t>Value Of Side Effects</t>
  </si>
  <si>
    <t>- Dep. Capital Maintenance</t>
  </si>
  <si>
    <t>- Capital Maintenance</t>
  </si>
  <si>
    <t>+ Terminal Value</t>
  </si>
  <si>
    <t>Cumulated Cost Of Capital</t>
  </si>
  <si>
    <t>Net Operation income</t>
  </si>
  <si>
    <t>Net Operation Income</t>
  </si>
  <si>
    <t>Value In Perpetuity</t>
  </si>
  <si>
    <t>Value Of Side Effect</t>
  </si>
  <si>
    <t>Average BV</t>
  </si>
  <si>
    <t>AGGREGATE</t>
  </si>
  <si>
    <t>RETURN ON CAPITAL (ROC)</t>
  </si>
  <si>
    <t>Terminal Value Calculation</t>
  </si>
  <si>
    <t>HURDLE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</si>
</sst>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64" formatCode="&quot;Rp&quot;#,##0"/>
    <numFmt numFmtId="165" formatCode="&quot;$&quot;#,##0.00"/>
    <numFmt numFmtId="166" formatCode="0.0000"/>
  </numFmts>
  <fonts count="16" x14ac:knownFonts="1"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charset val="1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mbria Math"/>
      <family val="1"/>
    </font>
    <font>
      <b/>
      <sz val="24"/>
      <color theme="1"/>
      <name val="Calibri (Badan)"/>
      <charset val="1"/>
    </font>
    <font>
      <b/>
      <u val="singleAccounting"/>
      <sz val="8"/>
      <color indexed="8"/>
      <name val="Arial"/>
      <family val="2"/>
    </font>
    <font>
      <b/>
      <i/>
      <sz val="14"/>
      <color theme="1"/>
      <name val="Calibri"/>
      <family val="2"/>
      <scheme val="minor"/>
    </font>
    <font>
      <sz val="8"/>
      <name val="Calibri"/>
      <family val="2"/>
      <charset val="1"/>
      <scheme val="minor"/>
    </font>
    <font>
      <sz val="12"/>
      <color rgb="FF000000"/>
      <name val="Calibri"/>
      <family val="2"/>
      <charset val="1"/>
      <scheme val="minor"/>
    </font>
    <font>
      <b/>
      <sz val="2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60"/>
        <bgColor indexed="64"/>
      </patternFill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2" borderId="0" applyAlignment="0"/>
  </cellStyleXfs>
  <cellXfs count="156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vertical="center"/>
    </xf>
    <xf numFmtId="49" fontId="0" fillId="0" borderId="1" xfId="0" applyNumberFormat="1" applyBorder="1"/>
    <xf numFmtId="49" fontId="0" fillId="0" borderId="1" xfId="0" applyNumberFormat="1" applyBorder="1" applyAlignment="1">
      <alignment horizontal="right" vertical="center"/>
    </xf>
    <xf numFmtId="49" fontId="2" fillId="0" borderId="0" xfId="0" applyNumberFormat="1" applyFont="1"/>
    <xf numFmtId="49" fontId="0" fillId="0" borderId="0" xfId="0" applyNumberFormat="1" applyAlignment="1">
      <alignment horizontal="center"/>
    </xf>
    <xf numFmtId="49" fontId="2" fillId="0" borderId="0" xfId="0" applyNumberFormat="1" applyFont="1" applyAlignment="1">
      <alignment horizontal="center"/>
    </xf>
    <xf numFmtId="49" fontId="2" fillId="0" borderId="1" xfId="0" applyNumberFormat="1" applyFont="1" applyBorder="1" applyAlignment="1">
      <alignment horizontal="center"/>
    </xf>
    <xf numFmtId="49" fontId="0" fillId="0" borderId="1" xfId="0" applyNumberFormat="1" applyBorder="1" applyAlignment="1">
      <alignment horizontal="right"/>
    </xf>
    <xf numFmtId="49" fontId="0" fillId="0" borderId="1" xfId="0" applyNumberFormat="1" applyBorder="1" applyAlignment="1">
      <alignment horizontal="center"/>
    </xf>
    <xf numFmtId="49" fontId="2" fillId="0" borderId="1" xfId="0" applyNumberFormat="1" applyFont="1" applyBorder="1"/>
    <xf numFmtId="49" fontId="3" fillId="0" borderId="0" xfId="0" applyNumberFormat="1" applyFont="1"/>
    <xf numFmtId="49" fontId="0" fillId="0" borderId="0" xfId="0" applyNumberFormat="1" applyAlignment="1">
      <alignment horizontal="right"/>
    </xf>
    <xf numFmtId="49" fontId="2" fillId="0" borderId="0" xfId="0" applyNumberFormat="1" applyFont="1" applyAlignment="1">
      <alignment vertical="center"/>
    </xf>
    <xf numFmtId="49" fontId="2" fillId="0" borderId="1" xfId="0" applyNumberFormat="1" applyFont="1" applyBorder="1" applyAlignment="1">
      <alignment horizontal="right"/>
    </xf>
    <xf numFmtId="49" fontId="4" fillId="0" borderId="1" xfId="0" applyNumberFormat="1" applyFont="1" applyBorder="1"/>
    <xf numFmtId="0" fontId="5" fillId="0" borderId="0" xfId="0" applyFont="1"/>
    <xf numFmtId="49" fontId="0" fillId="0" borderId="0" xfId="0" applyNumberFormat="1" applyAlignment="1">
      <alignment vertical="center"/>
    </xf>
    <xf numFmtId="49" fontId="2" fillId="0" borderId="0" xfId="0" applyNumberFormat="1" applyFont="1" applyAlignment="1">
      <alignment horizontal="right"/>
    </xf>
    <xf numFmtId="1" fontId="2" fillId="0" borderId="1" xfId="0" applyNumberFormat="1" applyFont="1" applyBorder="1" applyAlignment="1">
      <alignment horizontal="center"/>
    </xf>
    <xf numFmtId="10" fontId="2" fillId="0" borderId="1" xfId="1" applyNumberFormat="1" applyFont="1" applyBorder="1" applyAlignment="1">
      <alignment horizontal="center"/>
    </xf>
    <xf numFmtId="10" fontId="2" fillId="0" borderId="1" xfId="0" applyNumberFormat="1" applyFont="1" applyBorder="1" applyAlignment="1">
      <alignment horizontal="center"/>
    </xf>
    <xf numFmtId="49" fontId="8" fillId="0" borderId="0" xfId="0" applyNumberFormat="1" applyFont="1"/>
    <xf numFmtId="49" fontId="0" fillId="0" borderId="4" xfId="0" applyNumberFormat="1" applyBorder="1"/>
    <xf numFmtId="49" fontId="0" fillId="0" borderId="4" xfId="0" applyNumberFormat="1" applyBorder="1" applyAlignment="1">
      <alignment horizontal="right" vertical="center"/>
    </xf>
    <xf numFmtId="49" fontId="0" fillId="0" borderId="5" xfId="0" applyNumberFormat="1" applyBorder="1"/>
    <xf numFmtId="164" fontId="0" fillId="0" borderId="5" xfId="0" applyNumberFormat="1" applyBorder="1" applyAlignment="1">
      <alignment horizontal="right"/>
    </xf>
    <xf numFmtId="0" fontId="0" fillId="0" borderId="1" xfId="0" applyBorder="1" applyAlignment="1">
      <alignment horizontal="center"/>
    </xf>
    <xf numFmtId="1" fontId="0" fillId="0" borderId="0" xfId="0" applyNumberFormat="1"/>
    <xf numFmtId="0" fontId="0" fillId="0" borderId="1" xfId="0" applyBorder="1" applyAlignment="1">
      <alignment horizontal="right"/>
    </xf>
    <xf numFmtId="1" fontId="0" fillId="0" borderId="1" xfId="0" applyNumberFormat="1" applyBorder="1" applyAlignment="1">
      <alignment horizontal="center"/>
    </xf>
    <xf numFmtId="49" fontId="10" fillId="0" borderId="1" xfId="0" applyNumberFormat="1" applyFont="1" applyBorder="1"/>
    <xf numFmtId="2" fontId="0" fillId="0" borderId="1" xfId="0" applyNumberFormat="1" applyBorder="1" applyAlignment="1">
      <alignment horizontal="center"/>
    </xf>
    <xf numFmtId="2" fontId="0" fillId="0" borderId="1" xfId="1" applyNumberFormat="1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10" fontId="4" fillId="0" borderId="1" xfId="0" applyNumberFormat="1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49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2" fillId="0" borderId="1" xfId="0" applyFont="1" applyBorder="1" applyAlignment="1">
      <alignment horizontal="right"/>
    </xf>
    <xf numFmtId="9" fontId="0" fillId="0" borderId="4" xfId="0" applyNumberFormat="1" applyBorder="1" applyAlignment="1">
      <alignment horizontal="right"/>
    </xf>
    <xf numFmtId="10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right"/>
    </xf>
    <xf numFmtId="9" fontId="0" fillId="0" borderId="1" xfId="0" applyNumberFormat="1" applyBorder="1" applyAlignment="1">
      <alignment horizontal="right"/>
    </xf>
    <xf numFmtId="2" fontId="4" fillId="0" borderId="1" xfId="0" applyNumberFormat="1" applyFont="1" applyBorder="1" applyAlignment="1">
      <alignment horizontal="center"/>
    </xf>
    <xf numFmtId="49" fontId="3" fillId="0" borderId="1" xfId="0" applyNumberFormat="1" applyFont="1" applyBorder="1"/>
    <xf numFmtId="166" fontId="2" fillId="0" borderId="0" xfId="0" applyNumberFormat="1" applyFont="1"/>
    <xf numFmtId="2" fontId="2" fillId="0" borderId="0" xfId="0" applyNumberFormat="1" applyFont="1"/>
    <xf numFmtId="2" fontId="2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0" fontId="12" fillId="0" borderId="1" xfId="0" applyFont="1" applyBorder="1" applyAlignment="1">
      <alignment horizontal="left" vertical="top" wrapText="1"/>
    </xf>
    <xf numFmtId="2" fontId="13" fillId="0" borderId="1" xfId="0" applyNumberFormat="1" applyFont="1" applyBorder="1" applyAlignment="1">
      <alignment horizontal="center" vertical="top" wrapText="1"/>
    </xf>
    <xf numFmtId="165" fontId="13" fillId="0" borderId="1" xfId="0" applyNumberFormat="1" applyFont="1" applyBorder="1" applyAlignment="1">
      <alignment vertical="top" wrapText="1"/>
    </xf>
    <xf numFmtId="10" fontId="13" fillId="0" borderId="1" xfId="2" applyNumberFormat="1" applyFont="1" applyFill="1" applyBorder="1" applyAlignment="1">
      <alignment horizontal="center" vertical="top" wrapText="1"/>
    </xf>
    <xf numFmtId="165" fontId="13" fillId="0" borderId="1" xfId="0" applyNumberFormat="1" applyFont="1" applyBorder="1" applyAlignment="1">
      <alignment horizontal="right" vertical="top" wrapText="1"/>
    </xf>
    <xf numFmtId="2" fontId="4" fillId="0" borderId="1" xfId="1" applyNumberFormat="1" applyFont="1" applyBorder="1" applyAlignment="1">
      <alignment horizontal="center"/>
    </xf>
    <xf numFmtId="165" fontId="14" fillId="0" borderId="1" xfId="3" applyNumberFormat="1" applyFont="1" applyFill="1" applyBorder="1" applyAlignment="1">
      <alignment horizontal="center" wrapText="1"/>
    </xf>
    <xf numFmtId="165" fontId="14" fillId="0" borderId="1" xfId="3" applyNumberFormat="1" applyFont="1" applyFill="1" applyBorder="1" applyAlignment="1">
      <alignment horizontal="center" vertical="center" wrapText="1"/>
    </xf>
    <xf numFmtId="2" fontId="14" fillId="0" borderId="1" xfId="3" applyNumberFormat="1" applyFont="1" applyFill="1" applyBorder="1" applyAlignment="1">
      <alignment horizontal="center" vertical="center" wrapText="1"/>
    </xf>
    <xf numFmtId="0" fontId="14" fillId="0" borderId="1" xfId="3" applyFont="1" applyFill="1" applyBorder="1" applyAlignment="1">
      <alignment horizontal="center" vertical="center" wrapText="1"/>
    </xf>
    <xf numFmtId="0" fontId="0" fillId="0" borderId="1" xfId="0" applyBorder="1"/>
    <xf numFmtId="49" fontId="2" fillId="0" borderId="6" xfId="0" applyNumberFormat="1" applyFont="1" applyBorder="1"/>
    <xf numFmtId="49" fontId="4" fillId="0" borderId="0" xfId="0" applyNumberFormat="1" applyFont="1"/>
    <xf numFmtId="2" fontId="4" fillId="0" borderId="1" xfId="0" applyNumberFormat="1" applyFont="1" applyBorder="1"/>
    <xf numFmtId="9" fontId="4" fillId="0" borderId="1" xfId="0" applyNumberFormat="1" applyFont="1" applyBorder="1" applyAlignment="1">
      <alignment horizontal="right"/>
    </xf>
    <xf numFmtId="2" fontId="4" fillId="0" borderId="1" xfId="0" applyNumberFormat="1" applyFont="1" applyBorder="1" applyAlignment="1">
      <alignment horizontal="right"/>
    </xf>
    <xf numFmtId="0" fontId="0" fillId="0" borderId="5" xfId="0" applyBorder="1" applyAlignment="1">
      <alignment horizontal="center"/>
    </xf>
    <xf numFmtId="9" fontId="0" fillId="0" borderId="1" xfId="0" applyNumberFormat="1" applyBorder="1"/>
    <xf numFmtId="2" fontId="0" fillId="0" borderId="4" xfId="0" applyNumberFormat="1" applyBorder="1" applyAlignment="1">
      <alignment horizontal="center"/>
    </xf>
    <xf numFmtId="2" fontId="0" fillId="0" borderId="5" xfId="0" applyNumberFormat="1" applyBorder="1" applyAlignment="1">
      <alignment horizontal="center"/>
    </xf>
    <xf numFmtId="49" fontId="2" fillId="0" borderId="7" xfId="0" applyNumberFormat="1" applyFont="1" applyBorder="1"/>
    <xf numFmtId="2" fontId="2" fillId="0" borderId="8" xfId="0" applyNumberFormat="1" applyFont="1" applyBorder="1" applyAlignment="1">
      <alignment horizontal="center"/>
    </xf>
    <xf numFmtId="2" fontId="2" fillId="0" borderId="9" xfId="0" applyNumberFormat="1" applyFont="1" applyBorder="1" applyAlignment="1">
      <alignment horizontal="center"/>
    </xf>
    <xf numFmtId="9" fontId="0" fillId="0" borderId="5" xfId="0" applyNumberFormat="1" applyBorder="1"/>
    <xf numFmtId="10" fontId="0" fillId="0" borderId="0" xfId="0" applyNumberFormat="1"/>
    <xf numFmtId="10" fontId="0" fillId="0" borderId="1" xfId="0" applyNumberFormat="1" applyBorder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7" xfId="0" applyFont="1" applyBorder="1"/>
    <xf numFmtId="2" fontId="2" fillId="0" borderId="9" xfId="0" applyNumberFormat="1" applyFont="1" applyBorder="1"/>
    <xf numFmtId="1" fontId="2" fillId="0" borderId="0" xfId="0" applyNumberFormat="1" applyFont="1"/>
    <xf numFmtId="2" fontId="2" fillId="0" borderId="11" xfId="0" applyNumberFormat="1" applyFont="1" applyBorder="1" applyAlignment="1">
      <alignment horizontal="center"/>
    </xf>
    <xf numFmtId="2" fontId="2" fillId="0" borderId="12" xfId="0" applyNumberFormat="1" applyFon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1" xfId="0" applyNumberFormat="1" applyBorder="1"/>
    <xf numFmtId="9" fontId="2" fillId="0" borderId="7" xfId="0" applyNumberFormat="1" applyFont="1" applyBorder="1"/>
    <xf numFmtId="10" fontId="2" fillId="0" borderId="9" xfId="0" applyNumberFormat="1" applyFont="1" applyBorder="1"/>
    <xf numFmtId="49" fontId="2" fillId="0" borderId="14" xfId="0" applyNumberFormat="1" applyFont="1" applyBorder="1"/>
    <xf numFmtId="2" fontId="2" fillId="0" borderId="7" xfId="0" applyNumberFormat="1" applyFont="1" applyBorder="1" applyAlignment="1">
      <alignment horizontal="center"/>
    </xf>
    <xf numFmtId="9" fontId="4" fillId="0" borderId="1" xfId="0" applyNumberFormat="1" applyFont="1" applyBorder="1"/>
    <xf numFmtId="10" fontId="4" fillId="0" borderId="1" xfId="0" applyNumberFormat="1" applyFont="1" applyBorder="1"/>
    <xf numFmtId="1" fontId="0" fillId="0" borderId="0" xfId="0" applyNumberFormat="1" applyAlignment="1">
      <alignment horizontal="center"/>
    </xf>
    <xf numFmtId="9" fontId="0" fillId="0" borderId="1" xfId="0" applyNumberFormat="1" applyBorder="1" applyAlignment="1">
      <alignment horizontal="center"/>
    </xf>
    <xf numFmtId="9" fontId="2" fillId="0" borderId="1" xfId="0" applyNumberFormat="1" applyFont="1" applyBorder="1" applyAlignment="1">
      <alignment horizontal="center"/>
    </xf>
    <xf numFmtId="0" fontId="4" fillId="0" borderId="1" xfId="0" applyFont="1" applyBorder="1"/>
    <xf numFmtId="1" fontId="2" fillId="0" borderId="1" xfId="0" applyNumberFormat="1" applyFont="1" applyBorder="1"/>
    <xf numFmtId="1" fontId="2" fillId="0" borderId="7" xfId="0" applyNumberFormat="1" applyFont="1" applyBorder="1"/>
    <xf numFmtId="0" fontId="4" fillId="0" borderId="0" xfId="0" applyFont="1"/>
    <xf numFmtId="10" fontId="4" fillId="0" borderId="0" xfId="0" applyNumberFormat="1" applyFont="1"/>
    <xf numFmtId="49" fontId="0" fillId="0" borderId="2" xfId="0" applyNumberFormat="1" applyBorder="1"/>
    <xf numFmtId="49" fontId="0" fillId="0" borderId="29" xfId="0" applyNumberFormat="1" applyBorder="1"/>
    <xf numFmtId="49" fontId="0" fillId="0" borderId="30" xfId="0" applyNumberFormat="1" applyBorder="1"/>
    <xf numFmtId="1" fontId="2" fillId="0" borderId="0" xfId="0" applyNumberFormat="1" applyFont="1" applyAlignment="1">
      <alignment horizontal="center"/>
    </xf>
    <xf numFmtId="10" fontId="2" fillId="0" borderId="9" xfId="0" applyNumberFormat="1" applyFont="1" applyBorder="1" applyAlignment="1">
      <alignment horizontal="center"/>
    </xf>
    <xf numFmtId="1" fontId="4" fillId="0" borderId="1" xfId="0" applyNumberFormat="1" applyFont="1" applyBorder="1"/>
    <xf numFmtId="1" fontId="0" fillId="0" borderId="1" xfId="0" applyNumberFormat="1" applyBorder="1" applyAlignment="1">
      <alignment horizontal="left"/>
    </xf>
    <xf numFmtId="0" fontId="0" fillId="0" borderId="4" xfId="0" applyBorder="1"/>
    <xf numFmtId="1" fontId="0" fillId="0" borderId="4" xfId="0" applyNumberFormat="1" applyBorder="1"/>
    <xf numFmtId="0" fontId="2" fillId="0" borderId="1" xfId="0" applyFont="1" applyBorder="1" applyAlignment="1">
      <alignment horizontal="center"/>
    </xf>
    <xf numFmtId="0" fontId="0" fillId="0" borderId="2" xfId="0" applyBorder="1"/>
    <xf numFmtId="10" fontId="0" fillId="0" borderId="4" xfId="0" applyNumberFormat="1" applyBorder="1" applyAlignment="1">
      <alignment horizontal="center"/>
    </xf>
    <xf numFmtId="49" fontId="0" fillId="0" borderId="31" xfId="0" applyNumberFormat="1" applyBorder="1"/>
    <xf numFmtId="49" fontId="0" fillId="0" borderId="3" xfId="0" applyNumberFormat="1" applyBorder="1"/>
    <xf numFmtId="10" fontId="2" fillId="0" borderId="0" xfId="0" applyNumberFormat="1" applyFont="1" applyAlignment="1">
      <alignment horizontal="center"/>
    </xf>
    <xf numFmtId="49" fontId="4" fillId="0" borderId="0" xfId="0" applyNumberFormat="1" applyFont="1" applyAlignment="1">
      <alignment horizontal="center"/>
    </xf>
    <xf numFmtId="0" fontId="15" fillId="0" borderId="0" xfId="0" applyFont="1"/>
    <xf numFmtId="49" fontId="0" fillId="0" borderId="0" xfId="0" applyNumberFormat="1" applyAlignment="1">
      <alignment horizontal="center"/>
    </xf>
    <xf numFmtId="49" fontId="6" fillId="3" borderId="0" xfId="0" applyNumberFormat="1" applyFont="1" applyFill="1" applyAlignment="1">
      <alignment horizontal="center" vertical="center"/>
    </xf>
    <xf numFmtId="10" fontId="0" fillId="0" borderId="2" xfId="0" applyNumberFormat="1" applyBorder="1" applyAlignment="1">
      <alignment horizontal="center"/>
    </xf>
    <xf numFmtId="49" fontId="0" fillId="0" borderId="3" xfId="0" applyNumberFormat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49" fontId="2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1" fontId="0" fillId="0" borderId="0" xfId="0" applyNumberFormat="1" applyAlignment="1">
      <alignment horizontal="center"/>
    </xf>
    <xf numFmtId="49" fontId="2" fillId="0" borderId="16" xfId="0" applyNumberFormat="1" applyFont="1" applyBorder="1" applyAlignment="1">
      <alignment horizontal="center"/>
    </xf>
    <xf numFmtId="49" fontId="2" fillId="0" borderId="25" xfId="0" applyNumberFormat="1" applyFont="1" applyBorder="1" applyAlignment="1">
      <alignment horizontal="center"/>
    </xf>
    <xf numFmtId="49" fontId="2" fillId="0" borderId="15" xfId="0" applyNumberFormat="1" applyFont="1" applyBorder="1" applyAlignment="1">
      <alignment horizontal="center"/>
    </xf>
    <xf numFmtId="49" fontId="2" fillId="0" borderId="18" xfId="0" applyNumberFormat="1" applyFont="1" applyBorder="1" applyAlignment="1">
      <alignment horizontal="center"/>
    </xf>
    <xf numFmtId="49" fontId="2" fillId="0" borderId="26" xfId="0" applyNumberFormat="1" applyFont="1" applyBorder="1" applyAlignment="1">
      <alignment horizontal="center"/>
    </xf>
    <xf numFmtId="49" fontId="2" fillId="0" borderId="27" xfId="0" applyNumberFormat="1" applyFont="1" applyBorder="1" applyAlignment="1">
      <alignment horizontal="center"/>
    </xf>
    <xf numFmtId="49" fontId="2" fillId="0" borderId="28" xfId="0" applyNumberFormat="1" applyFont="1" applyBorder="1" applyAlignment="1">
      <alignment horizontal="center"/>
    </xf>
    <xf numFmtId="49" fontId="2" fillId="0" borderId="0" xfId="0" applyNumberFormat="1" applyFont="1" applyAlignment="1">
      <alignment horizontal="center"/>
    </xf>
    <xf numFmtId="49" fontId="2" fillId="0" borderId="19" xfId="0" applyNumberFormat="1" applyFont="1" applyBorder="1" applyAlignment="1">
      <alignment horizontal="center"/>
    </xf>
    <xf numFmtId="49" fontId="2" fillId="0" borderId="21" xfId="0" applyNumberFormat="1" applyFont="1" applyBorder="1" applyAlignment="1">
      <alignment horizontal="center"/>
    </xf>
    <xf numFmtId="49" fontId="2" fillId="0" borderId="22" xfId="0" applyNumberFormat="1" applyFont="1" applyBorder="1" applyAlignment="1">
      <alignment horizontal="center"/>
    </xf>
    <xf numFmtId="49" fontId="2" fillId="0" borderId="17" xfId="0" applyNumberFormat="1" applyFont="1" applyBorder="1" applyAlignment="1">
      <alignment horizontal="center"/>
    </xf>
    <xf numFmtId="49" fontId="11" fillId="3" borderId="0" xfId="0" applyNumberFormat="1" applyFont="1" applyFill="1" applyAlignment="1">
      <alignment horizontal="center"/>
    </xf>
    <xf numFmtId="49" fontId="2" fillId="0" borderId="6" xfId="0" applyNumberFormat="1" applyFont="1" applyBorder="1" applyAlignment="1">
      <alignment horizontal="center"/>
    </xf>
    <xf numFmtId="49" fontId="11" fillId="0" borderId="0" xfId="0" applyNumberFormat="1" applyFont="1" applyAlignment="1">
      <alignment horizontal="center"/>
    </xf>
    <xf numFmtId="49" fontId="4" fillId="0" borderId="1" xfId="0" applyNumberFormat="1" applyFont="1" applyBorder="1" applyAlignment="1">
      <alignment horizontal="left"/>
    </xf>
    <xf numFmtId="49" fontId="2" fillId="0" borderId="24" xfId="0" applyNumberFormat="1" applyFont="1" applyBorder="1" applyAlignment="1">
      <alignment horizontal="center"/>
    </xf>
    <xf numFmtId="49" fontId="2" fillId="0" borderId="23" xfId="0" applyNumberFormat="1" applyFont="1" applyBorder="1" applyAlignment="1">
      <alignment horizontal="center"/>
    </xf>
    <xf numFmtId="49" fontId="4" fillId="0" borderId="20" xfId="0" applyNumberFormat="1" applyFont="1" applyBorder="1" applyAlignment="1">
      <alignment horizontal="center"/>
    </xf>
    <xf numFmtId="49" fontId="4" fillId="0" borderId="2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1" fontId="15" fillId="0" borderId="0" xfId="0" applyNumberFormat="1" applyFont="1" applyAlignment="1">
      <alignment horizontal="center" vertical="center"/>
    </xf>
    <xf numFmtId="0" fontId="2" fillId="0" borderId="14" xfId="0" applyFont="1" applyBorder="1" applyAlignment="1">
      <alignment horizontal="center"/>
    </xf>
    <xf numFmtId="0" fontId="2" fillId="0" borderId="32" xfId="0" applyFont="1" applyBorder="1" applyAlignment="1">
      <alignment horizontal="center"/>
    </xf>
    <xf numFmtId="0" fontId="15" fillId="0" borderId="0" xfId="0" applyFont="1" applyAlignment="1">
      <alignment horizontal="center"/>
    </xf>
  </cellXfs>
  <cellStyles count="4">
    <cellStyle name="ColumnHeaderNormal" xfId="3" xr:uid="{33B94CB3-85B7-3849-8763-5A84021DBF04}"/>
    <cellStyle name="Koma [0]" xfId="1" builtinId="6"/>
    <cellStyle name="Normal" xfId="0" builtinId="0"/>
    <cellStyle name="Persen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91439</xdr:colOff>
      <xdr:row>36</xdr:row>
      <xdr:rowOff>170180</xdr:rowOff>
    </xdr:from>
    <xdr:ext cx="5533118" cy="38164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Kotak Teks 1">
              <a:extLst>
                <a:ext uri="{FF2B5EF4-FFF2-40B4-BE49-F238E27FC236}">
                  <a16:creationId xmlns:a16="http://schemas.microsoft.com/office/drawing/2014/main" id="{9E1400EC-E019-7A4F-B920-71B01633BCBD}"/>
                </a:ext>
              </a:extLst>
            </xdr:cNvPr>
            <xdr:cNvSpPr txBox="1"/>
          </xdr:nvSpPr>
          <xdr:spPr>
            <a:xfrm>
              <a:off x="335279" y="5656580"/>
              <a:ext cx="5533118" cy="38164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r>
                    <a:rPr lang="en-US" sz="1100" b="0" i="1">
                      <a:latin typeface="Cambria Math" panose="02040503050406030204" pitchFamily="18" charset="0"/>
                    </a:rPr>
                    <m:t>𝑀𝑎𝑟𝑘𝑒𝑡</m:t>
                  </m:r>
                  <m:r>
                    <a:rPr lang="en-US" sz="1100" b="0" i="1">
                      <a:latin typeface="Cambria Math" panose="02040503050406030204" pitchFamily="18" charset="0"/>
                    </a:rPr>
                    <m:t> </m:t>
                  </m:r>
                  <m:r>
                    <a:rPr lang="en-US" sz="1100" b="0" i="1">
                      <a:latin typeface="Cambria Math" panose="02040503050406030204" pitchFamily="18" charset="0"/>
                    </a:rPr>
                    <m:t>𝑉𝑎𝑙𝑢𝑒</m:t>
                  </m:r>
                  <m:r>
                    <a:rPr lang="en-US" sz="1100" b="0" i="1">
                      <a:latin typeface="Cambria Math" panose="02040503050406030204" pitchFamily="18" charset="0"/>
                    </a:rPr>
                    <m:t> </m:t>
                  </m:r>
                  <m:r>
                    <a:rPr lang="en-US" sz="1100" b="0" i="1">
                      <a:latin typeface="Cambria Math" panose="02040503050406030204" pitchFamily="18" charset="0"/>
                    </a:rPr>
                    <m:t>𝑂𝑓</m:t>
                  </m:r>
                  <m:r>
                    <a:rPr lang="en-US" sz="1100" b="0" i="1">
                      <a:latin typeface="Cambria Math" panose="02040503050406030204" pitchFamily="18" charset="0"/>
                    </a:rPr>
                    <m:t> </m:t>
                  </m:r>
                  <m:r>
                    <a:rPr lang="en-US" sz="1100" b="0" i="1">
                      <a:latin typeface="Cambria Math" panose="02040503050406030204" pitchFamily="18" charset="0"/>
                    </a:rPr>
                    <m:t>𝐼𝑛𝑡𝑒𝑟𝑒𝑠𝑡</m:t>
                  </m:r>
                  <m:r>
                    <a:rPr lang="en-US" sz="1100" b="0" i="1">
                      <a:latin typeface="Cambria Math" panose="02040503050406030204" pitchFamily="18" charset="0"/>
                    </a:rPr>
                    <m:t> </m:t>
                  </m:r>
                  <m:r>
                    <a:rPr lang="en-US" sz="1100" b="0" i="1">
                      <a:latin typeface="Cambria Math" panose="02040503050406030204" pitchFamily="18" charset="0"/>
                    </a:rPr>
                    <m:t>𝐷𝑒𝑏𝑡</m:t>
                  </m:r>
                  <m:r>
                    <a:rPr lang="en-US" sz="1100" b="0" i="1">
                      <a:latin typeface="Cambria Math" panose="02040503050406030204" pitchFamily="18" charset="0"/>
                    </a:rPr>
                    <m:t> =$ 200.000 × </m:t>
                  </m:r>
                  <m:d>
                    <m:dPr>
                      <m:begChr m:val="["/>
                      <m:endChr m:val="]"/>
                      <m:ctrlPr>
                        <a:rPr lang="en-US" sz="11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</m:ctrlPr>
                    </m:dPr>
                    <m:e>
                      <m:f>
                        <m:fPr>
                          <m:ctrlPr>
                            <a:rPr lang="en-US" sz="1100" b="0" i="1">
                              <a:latin typeface="Cambria Math" panose="02040503050406030204" pitchFamily="18" charset="0"/>
                              <a:ea typeface="Cambria Math" panose="02040503050406030204" pitchFamily="18" charset="0"/>
                            </a:rPr>
                          </m:ctrlPr>
                        </m:fPr>
                        <m:num>
                          <m:d>
                            <m:dPr>
                              <m:ctrlPr>
                                <a:rPr lang="en-US" sz="1100" b="0" i="1">
                                  <a:latin typeface="Cambria Math" panose="02040503050406030204" pitchFamily="18" charset="0"/>
                                  <a:ea typeface="Cambria Math" panose="02040503050406030204" pitchFamily="18" charset="0"/>
                                </a:rPr>
                              </m:ctrlPr>
                            </m:dPr>
                            <m:e>
                              <m:r>
                                <a:rPr lang="en-US" sz="1100" b="0" i="1">
                                  <a:latin typeface="Cambria Math" panose="02040503050406030204" pitchFamily="18" charset="0"/>
                                  <a:ea typeface="Cambria Math" panose="02040503050406030204" pitchFamily="18" charset="0"/>
                                </a:rPr>
                                <m:t>1−</m:t>
                              </m:r>
                              <m:f>
                                <m:fPr>
                                  <m:ctrlPr>
                                    <a:rPr lang="en-US" sz="1100" b="0" i="1">
                                      <a:latin typeface="Cambria Math" panose="02040503050406030204" pitchFamily="18" charset="0"/>
                                      <a:ea typeface="Cambria Math" panose="02040503050406030204" pitchFamily="18" charset="0"/>
                                    </a:rPr>
                                  </m:ctrlPr>
                                </m:fPr>
                                <m:num>
                                  <m:r>
                                    <a:rPr lang="en-US" sz="1100" b="0" i="1">
                                      <a:latin typeface="Cambria Math" panose="02040503050406030204" pitchFamily="18" charset="0"/>
                                      <a:ea typeface="Cambria Math" panose="02040503050406030204" pitchFamily="18" charset="0"/>
                                    </a:rPr>
                                    <m:t>1</m:t>
                                  </m:r>
                                </m:num>
                                <m:den>
                                  <m:sSup>
                                    <m:sSupPr>
                                      <m:ctrlPr>
                                        <a:rPr lang="en-US" sz="1100" b="0" i="1">
                                          <a:latin typeface="Cambria Math" panose="02040503050406030204" pitchFamily="18" charset="0"/>
                                          <a:ea typeface="Cambria Math" panose="02040503050406030204" pitchFamily="18" charset="0"/>
                                        </a:rPr>
                                      </m:ctrlPr>
                                    </m:sSupPr>
                                    <m:e>
                                      <m:r>
                                        <a:rPr lang="en-US" sz="1100" b="0" i="1">
                                          <a:latin typeface="Cambria Math" panose="02040503050406030204" pitchFamily="18" charset="0"/>
                                          <a:ea typeface="Cambria Math" panose="02040503050406030204" pitchFamily="18" charset="0"/>
                                        </a:rPr>
                                        <m:t>(1+0,062)</m:t>
                                      </m:r>
                                    </m:e>
                                    <m:sup>
                                      <m:r>
                                        <a:rPr lang="en-US" sz="1100" b="0" i="1">
                                          <a:latin typeface="Cambria Math" panose="02040503050406030204" pitchFamily="18" charset="0"/>
                                          <a:ea typeface="Cambria Math" panose="02040503050406030204" pitchFamily="18" charset="0"/>
                                        </a:rPr>
                                        <m:t>4</m:t>
                                      </m:r>
                                    </m:sup>
                                  </m:sSup>
                                </m:den>
                              </m:f>
                            </m:e>
                          </m:d>
                        </m:num>
                        <m:den>
                          <m:r>
                            <a:rPr lang="en-US" sz="1100" b="0" i="1">
                              <a:latin typeface="Cambria Math" panose="02040503050406030204" pitchFamily="18" charset="0"/>
                              <a:ea typeface="Cambria Math" panose="02040503050406030204" pitchFamily="18" charset="0"/>
                            </a:rPr>
                            <m:t>0,062</m:t>
                          </m:r>
                        </m:den>
                      </m:f>
                    </m:e>
                  </m:d>
                  <m:r>
                    <a:rPr lang="en-US" sz="1100" b="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+ </m:t>
                  </m:r>
                  <m:f>
                    <m:fPr>
                      <m:ctrlPr>
                        <a:rPr lang="en-US" sz="11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</m:ctrlPr>
                    </m:fPr>
                    <m:num>
                      <m:r>
                        <a:rPr lang="en-US" sz="11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 $5.8</m:t>
                      </m:r>
                    </m:num>
                    <m:den>
                      <m:sSup>
                        <m:sSupPr>
                          <m:ctrlPr>
                            <a:rPr lang="en-US" sz="1100" b="0" i="1">
                              <a:latin typeface="Cambria Math" panose="02040503050406030204" pitchFamily="18" charset="0"/>
                              <a:ea typeface="Cambria Math" panose="02040503050406030204" pitchFamily="18" charset="0"/>
                            </a:rPr>
                          </m:ctrlPr>
                        </m:sSupPr>
                        <m:e>
                          <m:r>
                            <a:rPr lang="en-US" sz="1100" b="0" i="1">
                              <a:latin typeface="Cambria Math" panose="02040503050406030204" pitchFamily="18" charset="0"/>
                              <a:ea typeface="Cambria Math" panose="02040503050406030204" pitchFamily="18" charset="0"/>
                            </a:rPr>
                            <m:t>(1+0,062)</m:t>
                          </m:r>
                        </m:e>
                        <m:sup>
                          <m:r>
                            <a:rPr lang="en-US" sz="1100" b="0" i="1">
                              <a:latin typeface="Cambria Math" panose="02040503050406030204" pitchFamily="18" charset="0"/>
                              <a:ea typeface="Cambria Math" panose="02040503050406030204" pitchFamily="18" charset="0"/>
                            </a:rPr>
                            <m:t>4</m:t>
                          </m:r>
                        </m:sup>
                      </m:sSup>
                    </m:den>
                  </m:f>
                </m:oMath>
              </a14:m>
              <a:r>
                <a:rPr lang="id-ID" sz="1100"/>
                <a:t> </a:t>
              </a:r>
              <a14:m>
                <m:oMath xmlns:m="http://schemas.openxmlformats.org/officeDocument/2006/math">
                  <m:r>
                    <a:rPr lang="en-US" sz="1100" b="0" i="1">
                      <a:latin typeface="Cambria Math" panose="02040503050406030204" pitchFamily="18" charset="0"/>
                    </a:rPr>
                    <m:t>=5,249</m:t>
                  </m:r>
                  <m:r>
                    <a:rPr lang="en-US" sz="1100" b="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≈$ 5,25</m:t>
                  </m:r>
                </m:oMath>
              </a14:m>
              <a:endParaRPr lang="id-ID" sz="1100"/>
            </a:p>
          </xdr:txBody>
        </xdr:sp>
      </mc:Choice>
      <mc:Fallback xmlns="">
        <xdr:sp macro="" textlink="">
          <xdr:nvSpPr>
            <xdr:cNvPr id="2" name="Kotak Teks 1">
              <a:extLst>
                <a:ext uri="{FF2B5EF4-FFF2-40B4-BE49-F238E27FC236}">
                  <a16:creationId xmlns:a16="http://schemas.microsoft.com/office/drawing/2014/main" id="{9E1400EC-E019-7A4F-B920-71B01633BCBD}"/>
                </a:ext>
              </a:extLst>
            </xdr:cNvPr>
            <xdr:cNvSpPr txBox="1"/>
          </xdr:nvSpPr>
          <xdr:spPr>
            <a:xfrm>
              <a:off x="335279" y="5656580"/>
              <a:ext cx="5533118" cy="38164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𝑀𝑎𝑟𝑘𝑒𝑡 𝑉𝑎𝑙𝑢𝑒 𝑂𝑓 𝐼𝑛𝑡𝑒𝑟𝑒𝑠𝑡 𝐷𝑒𝑏𝑡 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=$ 200.000 × [((1−1/〖(1+0,062)〗^4 ))/0,062]+  ( $5.8)/〖(1+0,062)〗^4 </a:t>
              </a:r>
              <a:r>
                <a:rPr lang="id-ID" sz="1100"/>
                <a:t> </a:t>
              </a:r>
              <a:r>
                <a:rPr lang="en-US" sz="1100" b="0" i="0">
                  <a:latin typeface="Cambria Math" panose="02040503050406030204" pitchFamily="18" charset="0"/>
                </a:rPr>
                <a:t>=5,249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≈$ 5,25</a:t>
              </a:r>
              <a:endParaRPr lang="id-ID" sz="1100"/>
            </a:p>
          </xdr:txBody>
        </xdr:sp>
      </mc:Fallback>
    </mc:AlternateContent>
    <xdr:clientData/>
  </xdr:oneCellAnchor>
  <xdr:oneCellAnchor>
    <xdr:from>
      <xdr:col>1</xdr:col>
      <xdr:colOff>157480</xdr:colOff>
      <xdr:row>15</xdr:row>
      <xdr:rowOff>5080</xdr:rowOff>
    </xdr:from>
    <xdr:ext cx="3540072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Kotak Teks 2">
              <a:extLst>
                <a:ext uri="{FF2B5EF4-FFF2-40B4-BE49-F238E27FC236}">
                  <a16:creationId xmlns:a16="http://schemas.microsoft.com/office/drawing/2014/main" id="{43D95E23-9527-95FC-DAD9-94F66903EE3B}"/>
                </a:ext>
              </a:extLst>
            </xdr:cNvPr>
            <xdr:cNvSpPr txBox="1"/>
          </xdr:nvSpPr>
          <xdr:spPr>
            <a:xfrm>
              <a:off x="401320" y="1427480"/>
              <a:ext cx="354007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1" i="1">
                        <a:latin typeface="Cambria Math" panose="02040503050406030204" pitchFamily="18" charset="0"/>
                      </a:rPr>
                      <m:t>𝑪𝒐𝒔𝒕</m:t>
                    </m:r>
                    <m:r>
                      <a:rPr lang="en-US" sz="1100" b="1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100" b="1" i="1">
                        <a:latin typeface="Cambria Math" panose="02040503050406030204" pitchFamily="18" charset="0"/>
                      </a:rPr>
                      <m:t>𝑶𝒇</m:t>
                    </m:r>
                    <m:r>
                      <a:rPr lang="en-US" sz="1100" b="1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100" b="1" i="1">
                        <a:latin typeface="Cambria Math" panose="02040503050406030204" pitchFamily="18" charset="0"/>
                      </a:rPr>
                      <m:t>𝑬𝒒𝒖𝒊𝒕𝒚</m:t>
                    </m:r>
                    <m:r>
                      <a:rPr lang="en-US" sz="11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r>
                      <a:rPr lang="en-US" sz="11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𝟒</m:t>
                    </m:r>
                    <m:r>
                      <a:rPr lang="en-US" sz="11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.</m:t>
                    </m:r>
                    <m:r>
                      <a:rPr lang="en-US" sz="11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𝟕𝟎</m:t>
                    </m:r>
                    <m:r>
                      <a:rPr lang="en-US" sz="11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%+</m:t>
                    </m:r>
                    <m:r>
                      <a:rPr lang="en-US" sz="11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𝟏</m:t>
                    </m:r>
                    <m:r>
                      <a:rPr lang="en-US" sz="11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.</m:t>
                    </m:r>
                    <m:r>
                      <a:rPr lang="en-US" sz="11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𝟓𝟑</m:t>
                    </m:r>
                    <m:r>
                      <a:rPr lang="en-US" sz="11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× </m:t>
                    </m:r>
                    <m:d>
                      <m:dPr>
                        <m:ctrlPr>
                          <a:rPr lang="en-US" sz="11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11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  <m:r>
                          <a:rPr lang="en-US" sz="11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.</m:t>
                        </m:r>
                        <m:r>
                          <a:rPr lang="en-US" sz="11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𝟖𝟖</m:t>
                        </m:r>
                        <m:r>
                          <a:rPr lang="en-US" sz="11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%</m:t>
                        </m:r>
                      </m:e>
                    </m:d>
                    <m:r>
                      <a:rPr lang="en-US" sz="11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r>
                      <a:rPr lang="en-US" sz="11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𝟏𝟑</m:t>
                    </m:r>
                    <m:r>
                      <a:rPr lang="en-US" sz="11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.</m:t>
                    </m:r>
                    <m:r>
                      <a:rPr lang="en-US" sz="11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𝟔𝟗</m:t>
                    </m:r>
                    <m:r>
                      <a:rPr lang="en-US" sz="11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%</m:t>
                    </m:r>
                  </m:oMath>
                </m:oMathPara>
              </a14:m>
              <a:endParaRPr lang="id-ID" sz="1100" b="1"/>
            </a:p>
          </xdr:txBody>
        </xdr:sp>
      </mc:Choice>
      <mc:Fallback xmlns="">
        <xdr:sp macro="" textlink="">
          <xdr:nvSpPr>
            <xdr:cNvPr id="3" name="Kotak Teks 2">
              <a:extLst>
                <a:ext uri="{FF2B5EF4-FFF2-40B4-BE49-F238E27FC236}">
                  <a16:creationId xmlns:a16="http://schemas.microsoft.com/office/drawing/2014/main" id="{43D95E23-9527-95FC-DAD9-94F66903EE3B}"/>
                </a:ext>
              </a:extLst>
            </xdr:cNvPr>
            <xdr:cNvSpPr txBox="1"/>
          </xdr:nvSpPr>
          <xdr:spPr>
            <a:xfrm>
              <a:off x="401320" y="1427480"/>
              <a:ext cx="354007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1" i="0">
                  <a:latin typeface="Cambria Math" panose="02040503050406030204" pitchFamily="18" charset="0"/>
                </a:rPr>
                <a:t>𝑪𝒐𝒔𝒕 𝑶𝒇 𝑬𝒒𝒖𝒊𝒕𝒚</a:t>
              </a:r>
              <a:r>
                <a:rPr lang="en-US" sz="11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=𝟒.𝟕𝟎%+𝟏.𝟓𝟑 × (𝟓.𝟖𝟖%)=𝟏𝟑.𝟔𝟗%</a:t>
              </a:r>
              <a:endParaRPr lang="id-ID" sz="1100" b="1"/>
            </a:p>
          </xdr:txBody>
        </xdr:sp>
      </mc:Fallback>
    </mc:AlternateContent>
    <xdr:clientData/>
  </xdr:oneCellAnchor>
  <xdr:oneCellAnchor>
    <xdr:from>
      <xdr:col>1</xdr:col>
      <xdr:colOff>228600</xdr:colOff>
      <xdr:row>28</xdr:row>
      <xdr:rowOff>116840</xdr:rowOff>
    </xdr:from>
    <xdr:ext cx="2961132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Kotak Teks 3">
              <a:extLst>
                <a:ext uri="{FF2B5EF4-FFF2-40B4-BE49-F238E27FC236}">
                  <a16:creationId xmlns:a16="http://schemas.microsoft.com/office/drawing/2014/main" id="{E68675B6-FBB8-D69F-BD53-F9B9BD1A7E94}"/>
                </a:ext>
              </a:extLst>
            </xdr:cNvPr>
            <xdr:cNvSpPr txBox="1"/>
          </xdr:nvSpPr>
          <xdr:spPr>
            <a:xfrm>
              <a:off x="472440" y="4180840"/>
              <a:ext cx="296113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1" i="1">
                        <a:latin typeface="Cambria Math" panose="02040503050406030204" pitchFamily="18" charset="0"/>
                      </a:rPr>
                      <m:t>𝑪𝒐𝒔𝒕</m:t>
                    </m:r>
                    <m:r>
                      <a:rPr lang="en-US" sz="1100" b="1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100" b="1" i="1">
                        <a:latin typeface="Cambria Math" panose="02040503050406030204" pitchFamily="18" charset="0"/>
                      </a:rPr>
                      <m:t>𝑶𝒇</m:t>
                    </m:r>
                    <m:r>
                      <a:rPr lang="en-US" sz="1100" b="1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100" b="1" i="1">
                        <a:latin typeface="Cambria Math" panose="02040503050406030204" pitchFamily="18" charset="0"/>
                      </a:rPr>
                      <m:t>𝑫𝒆𝒃𝒕</m:t>
                    </m:r>
                    <m:r>
                      <a:rPr lang="en-US" sz="11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r>
                      <a:rPr lang="en-US" sz="11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𝟔</m:t>
                    </m:r>
                    <m:r>
                      <a:rPr lang="en-US" sz="11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.</m:t>
                    </m:r>
                    <m:r>
                      <a:rPr lang="en-US" sz="11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𝟐𝟎</m:t>
                    </m:r>
                    <m:r>
                      <a:rPr lang="en-US" sz="11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% × </m:t>
                    </m:r>
                    <m:d>
                      <m:dPr>
                        <m:ctrlPr>
                          <a:rPr lang="en-US" sz="11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11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𝟏</m:t>
                        </m:r>
                        <m:r>
                          <a:rPr lang="en-US" sz="11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</m:t>
                        </m:r>
                        <m:r>
                          <a:rPr lang="en-US" sz="11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𝟐𝟓</m:t>
                        </m:r>
                        <m:r>
                          <a:rPr lang="en-US" sz="11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%</m:t>
                        </m:r>
                      </m:e>
                    </m:d>
                    <m:r>
                      <a:rPr lang="en-US" sz="11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r>
                      <a:rPr lang="en-US" sz="11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𝟒</m:t>
                    </m:r>
                    <m:r>
                      <a:rPr lang="en-US" sz="11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.</m:t>
                    </m:r>
                    <m:r>
                      <a:rPr lang="en-US" sz="11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𝟔𝟓</m:t>
                    </m:r>
                    <m:r>
                      <a:rPr lang="en-US" sz="11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%</m:t>
                    </m:r>
                  </m:oMath>
                </m:oMathPara>
              </a14:m>
              <a:endParaRPr lang="id-ID" sz="1100" b="1"/>
            </a:p>
          </xdr:txBody>
        </xdr:sp>
      </mc:Choice>
      <mc:Fallback xmlns="">
        <xdr:sp macro="" textlink="">
          <xdr:nvSpPr>
            <xdr:cNvPr id="4" name="Kotak Teks 3">
              <a:extLst>
                <a:ext uri="{FF2B5EF4-FFF2-40B4-BE49-F238E27FC236}">
                  <a16:creationId xmlns:a16="http://schemas.microsoft.com/office/drawing/2014/main" id="{E68675B6-FBB8-D69F-BD53-F9B9BD1A7E94}"/>
                </a:ext>
              </a:extLst>
            </xdr:cNvPr>
            <xdr:cNvSpPr txBox="1"/>
          </xdr:nvSpPr>
          <xdr:spPr>
            <a:xfrm>
              <a:off x="472440" y="4180840"/>
              <a:ext cx="296113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1" i="0">
                  <a:latin typeface="Cambria Math" panose="02040503050406030204" pitchFamily="18" charset="0"/>
                </a:rPr>
                <a:t>𝑪𝒐𝒔𝒕 𝑶𝒇 𝑫𝒆𝒃𝒕</a:t>
              </a:r>
              <a:r>
                <a:rPr lang="en-US" sz="11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=𝟔.𝟐𝟎% × (𝟏−𝟐𝟓%)=𝟒.𝟔𝟓%</a:t>
              </a:r>
              <a:endParaRPr lang="id-ID" sz="1100" b="1"/>
            </a:p>
          </xdr:txBody>
        </xdr:sp>
      </mc:Fallback>
    </mc:AlternateContent>
    <xdr:clientData/>
  </xdr:oneCellAnchor>
  <xdr:oneCellAnchor>
    <xdr:from>
      <xdr:col>1</xdr:col>
      <xdr:colOff>614681</xdr:colOff>
      <xdr:row>53</xdr:row>
      <xdr:rowOff>64346</xdr:rowOff>
    </xdr:from>
    <xdr:ext cx="4143586" cy="26199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Kotak Teks 5">
              <a:extLst>
                <a:ext uri="{FF2B5EF4-FFF2-40B4-BE49-F238E27FC236}">
                  <a16:creationId xmlns:a16="http://schemas.microsoft.com/office/drawing/2014/main" id="{EE2BB254-3FB6-F2B5-BF9E-B0231A85B4EB}"/>
                </a:ext>
              </a:extLst>
            </xdr:cNvPr>
            <xdr:cNvSpPr txBox="1"/>
          </xdr:nvSpPr>
          <xdr:spPr>
            <a:xfrm>
              <a:off x="860214" y="9208346"/>
              <a:ext cx="4143586" cy="26199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r>
                    <a:rPr lang="en-US" sz="1100" b="0" i="1">
                      <a:latin typeface="Cambria Math" panose="02040503050406030204" pitchFamily="18" charset="0"/>
                    </a:rPr>
                    <m:t>𝐶𝑜𝑠𝑡</m:t>
                  </m:r>
                  <m:r>
                    <a:rPr lang="en-US" sz="1100" b="0" i="1">
                      <a:latin typeface="Cambria Math" panose="02040503050406030204" pitchFamily="18" charset="0"/>
                    </a:rPr>
                    <m:t> </m:t>
                  </m:r>
                  <m:r>
                    <a:rPr lang="en-US" sz="1100" b="0" i="1">
                      <a:latin typeface="Cambria Math" panose="02040503050406030204" pitchFamily="18" charset="0"/>
                    </a:rPr>
                    <m:t>𝑂𝑓</m:t>
                  </m:r>
                  <m:r>
                    <a:rPr lang="en-US" sz="1100" b="0" i="1">
                      <a:latin typeface="Cambria Math" panose="02040503050406030204" pitchFamily="18" charset="0"/>
                    </a:rPr>
                    <m:t> </m:t>
                  </m:r>
                  <m:r>
                    <a:rPr lang="en-US" sz="1100" b="0" i="1">
                      <a:latin typeface="Cambria Math" panose="02040503050406030204" pitchFamily="18" charset="0"/>
                    </a:rPr>
                    <m:t>𝐶𝑎𝑝𝑖𝑡𝑎𝑙</m:t>
                  </m:r>
                  <m:r>
                    <a:rPr lang="en-US" sz="1100" b="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=13.69% ×</m:t>
                  </m:r>
                  <m:d>
                    <m:dPr>
                      <m:ctrlPr>
                        <a:rPr lang="en-US" sz="11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</m:ctrlPr>
                    </m:dPr>
                    <m:e>
                      <m:f>
                        <m:fPr>
                          <m:ctrlPr>
                            <a:rPr lang="en-US" sz="1100" b="0" i="1">
                              <a:latin typeface="Cambria Math" panose="02040503050406030204" pitchFamily="18" charset="0"/>
                              <a:ea typeface="Cambria Math" panose="02040503050406030204" pitchFamily="18" charset="0"/>
                            </a:rPr>
                          </m:ctrlPr>
                        </m:fPr>
                        <m:num>
                          <m:r>
                            <a:rPr lang="en-US" sz="1100" b="0" i="1">
                              <a:latin typeface="Cambria Math" panose="02040503050406030204" pitchFamily="18" charset="0"/>
                              <a:ea typeface="Cambria Math" panose="02040503050406030204" pitchFamily="18" charset="0"/>
                            </a:rPr>
                            <m:t>5.587,20</m:t>
                          </m:r>
                        </m:num>
                        <m:den>
                          <m:r>
                            <a:rPr lang="en-US" sz="1100" b="0" i="1">
                              <a:latin typeface="Cambria Math" panose="02040503050406030204" pitchFamily="18" charset="0"/>
                              <a:ea typeface="Cambria Math" panose="02040503050406030204" pitchFamily="18" charset="0"/>
                            </a:rPr>
                            <m:t>5.587,20+5,25</m:t>
                          </m:r>
                        </m:den>
                      </m:f>
                    </m:e>
                  </m:d>
                  <m:r>
                    <a:rPr lang="en-US" sz="1100" b="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+4.65%</m:t>
                  </m:r>
                </m:oMath>
              </a14:m>
              <a:r>
                <a:rPr lang="id-ID" sz="1100"/>
                <a:t> </a:t>
              </a:r>
              <a14:m>
                <m:oMath xmlns:m="http://schemas.openxmlformats.org/officeDocument/2006/math">
                  <m:r>
                    <a:rPr lang="id-ID" sz="110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×</m:t>
                  </m:r>
                  <m:r>
                    <a:rPr lang="en-US" sz="1100" b="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 </m:t>
                  </m:r>
                  <m:d>
                    <m:dPr>
                      <m:ctrlPr>
                        <a:rPr lang="en-US" sz="11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</m:ctrlPr>
                    </m:dPr>
                    <m:e>
                      <m:f>
                        <m:fPr>
                          <m:ctrlPr>
                            <a:rPr lang="en-US" sz="1100" b="0" i="1">
                              <a:latin typeface="Cambria Math" panose="02040503050406030204" pitchFamily="18" charset="0"/>
                              <a:ea typeface="Cambria Math" panose="02040503050406030204" pitchFamily="18" charset="0"/>
                            </a:rPr>
                          </m:ctrlPr>
                        </m:fPr>
                        <m:num>
                          <m:r>
                            <a:rPr lang="en-US" sz="1100" b="0" i="1">
                              <a:latin typeface="Cambria Math" panose="02040503050406030204" pitchFamily="18" charset="0"/>
                              <a:ea typeface="Cambria Math" panose="02040503050406030204" pitchFamily="18" charset="0"/>
                            </a:rPr>
                            <m:t>5.25</m:t>
                          </m:r>
                        </m:num>
                        <m:den>
                          <m:r>
                            <a:rPr lang="en-US" sz="1100" b="0" i="1">
                              <a:latin typeface="Cambria Math" panose="02040503050406030204" pitchFamily="18" charset="0"/>
                              <a:ea typeface="Cambria Math" panose="02040503050406030204" pitchFamily="18" charset="0"/>
                            </a:rPr>
                            <m:t>5.587,20+5,25</m:t>
                          </m:r>
                        </m:den>
                      </m:f>
                    </m:e>
                  </m:d>
                </m:oMath>
              </a14:m>
              <a:endParaRPr lang="id-ID" sz="1100"/>
            </a:p>
          </xdr:txBody>
        </xdr:sp>
      </mc:Choice>
      <mc:Fallback xmlns="">
        <xdr:sp macro="" textlink="">
          <xdr:nvSpPr>
            <xdr:cNvPr id="6" name="Kotak Teks 5">
              <a:extLst>
                <a:ext uri="{FF2B5EF4-FFF2-40B4-BE49-F238E27FC236}">
                  <a16:creationId xmlns:a16="http://schemas.microsoft.com/office/drawing/2014/main" id="{EE2BB254-3FB6-F2B5-BF9E-B0231A85B4EB}"/>
                </a:ext>
              </a:extLst>
            </xdr:cNvPr>
            <xdr:cNvSpPr txBox="1"/>
          </xdr:nvSpPr>
          <xdr:spPr>
            <a:xfrm>
              <a:off x="860214" y="9208346"/>
              <a:ext cx="4143586" cy="26199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𝐶𝑜𝑠𝑡 𝑂𝑓 𝐶𝑎𝑝𝑖𝑡𝑎𝑙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=13.69% ×(5.587,20/(5.587,20+5,25))+4.65%</a:t>
              </a:r>
              <a:r>
                <a:rPr lang="id-ID" sz="1100"/>
                <a:t> </a:t>
              </a:r>
              <a:r>
                <a:rPr lang="id-ID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×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(5.25/(5.587,20+5,25))</a:t>
              </a:r>
              <a:endParaRPr lang="id-ID" sz="1100"/>
            </a:p>
          </xdr:txBody>
        </xdr:sp>
      </mc:Fallback>
    </mc:AlternateContent>
    <xdr:clientData/>
  </xdr:oneCellAnchor>
  <xdr:oneCellAnchor>
    <xdr:from>
      <xdr:col>1</xdr:col>
      <xdr:colOff>1608666</xdr:colOff>
      <xdr:row>55</xdr:row>
      <xdr:rowOff>76201</xdr:rowOff>
    </xdr:from>
    <xdr:ext cx="2364878" cy="17209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Kotak Teks 6">
              <a:extLst>
                <a:ext uri="{FF2B5EF4-FFF2-40B4-BE49-F238E27FC236}">
                  <a16:creationId xmlns:a16="http://schemas.microsoft.com/office/drawing/2014/main" id="{EDEF172A-0CB3-A3E6-14EE-43ED53874148}"/>
                </a:ext>
              </a:extLst>
            </xdr:cNvPr>
            <xdr:cNvSpPr txBox="1"/>
          </xdr:nvSpPr>
          <xdr:spPr>
            <a:xfrm>
              <a:off x="1854199" y="9626601"/>
              <a:ext cx="2364878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=13.69% 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 0,9991+4.65% × 0,0009</m:t>
                    </m:r>
                  </m:oMath>
                </m:oMathPara>
              </a14:m>
              <a:endParaRPr lang="id-ID" sz="1100"/>
            </a:p>
          </xdr:txBody>
        </xdr:sp>
      </mc:Choice>
      <mc:Fallback xmlns="">
        <xdr:sp macro="" textlink="">
          <xdr:nvSpPr>
            <xdr:cNvPr id="7" name="Kotak Teks 6">
              <a:extLst>
                <a:ext uri="{FF2B5EF4-FFF2-40B4-BE49-F238E27FC236}">
                  <a16:creationId xmlns:a16="http://schemas.microsoft.com/office/drawing/2014/main" id="{EDEF172A-0CB3-A3E6-14EE-43ED53874148}"/>
                </a:ext>
              </a:extLst>
            </xdr:cNvPr>
            <xdr:cNvSpPr txBox="1"/>
          </xdr:nvSpPr>
          <xdr:spPr>
            <a:xfrm>
              <a:off x="1854199" y="9626601"/>
              <a:ext cx="2364878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=13.69% 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× 0,9991+4.65% × 0,0009</a:t>
              </a:r>
              <a:endParaRPr lang="id-ID" sz="1100"/>
            </a:p>
          </xdr:txBody>
        </xdr:sp>
      </mc:Fallback>
    </mc:AlternateContent>
    <xdr:clientData/>
  </xdr:oneCellAnchor>
  <xdr:oneCellAnchor>
    <xdr:from>
      <xdr:col>1</xdr:col>
      <xdr:colOff>1617133</xdr:colOff>
      <xdr:row>57</xdr:row>
      <xdr:rowOff>59267</xdr:rowOff>
    </xdr:from>
    <xdr:ext cx="1574021" cy="17209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Kotak Teks 7">
              <a:extLst>
                <a:ext uri="{FF2B5EF4-FFF2-40B4-BE49-F238E27FC236}">
                  <a16:creationId xmlns:a16="http://schemas.microsoft.com/office/drawing/2014/main" id="{CA626BD2-0846-6ACB-084D-3F880C286087}"/>
                </a:ext>
              </a:extLst>
            </xdr:cNvPr>
            <xdr:cNvSpPr txBox="1"/>
          </xdr:nvSpPr>
          <xdr:spPr>
            <a:xfrm>
              <a:off x="1862666" y="10016067"/>
              <a:ext cx="1574021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=13,677679+0,004185</m:t>
                    </m:r>
                  </m:oMath>
                </m:oMathPara>
              </a14:m>
              <a:endParaRPr lang="id-ID" sz="1100"/>
            </a:p>
          </xdr:txBody>
        </xdr:sp>
      </mc:Choice>
      <mc:Fallback xmlns="">
        <xdr:sp macro="" textlink="">
          <xdr:nvSpPr>
            <xdr:cNvPr id="8" name="Kotak Teks 7">
              <a:extLst>
                <a:ext uri="{FF2B5EF4-FFF2-40B4-BE49-F238E27FC236}">
                  <a16:creationId xmlns:a16="http://schemas.microsoft.com/office/drawing/2014/main" id="{CA626BD2-0846-6ACB-084D-3F880C286087}"/>
                </a:ext>
              </a:extLst>
            </xdr:cNvPr>
            <xdr:cNvSpPr txBox="1"/>
          </xdr:nvSpPr>
          <xdr:spPr>
            <a:xfrm>
              <a:off x="1862666" y="10016067"/>
              <a:ext cx="1574021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=13,677679+0,004185</a:t>
              </a:r>
              <a:endParaRPr lang="id-ID" sz="1100"/>
            </a:p>
          </xdr:txBody>
        </xdr:sp>
      </mc:Fallback>
    </mc:AlternateContent>
    <xdr:clientData/>
  </xdr:oneCellAnchor>
  <xdr:oneCellAnchor>
    <xdr:from>
      <xdr:col>1</xdr:col>
      <xdr:colOff>567267</xdr:colOff>
      <xdr:row>59</xdr:row>
      <xdr:rowOff>8466</xdr:rowOff>
    </xdr:from>
    <xdr:ext cx="1821845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Kotak Teks 8">
              <a:extLst>
                <a:ext uri="{FF2B5EF4-FFF2-40B4-BE49-F238E27FC236}">
                  <a16:creationId xmlns:a16="http://schemas.microsoft.com/office/drawing/2014/main" id="{94D97E01-C0F1-CEAA-DC2F-1A86B89374E7}"/>
                </a:ext>
              </a:extLst>
            </xdr:cNvPr>
            <xdr:cNvSpPr txBox="1"/>
          </xdr:nvSpPr>
          <xdr:spPr>
            <a:xfrm>
              <a:off x="812800" y="10371666"/>
              <a:ext cx="182184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1" i="1">
                        <a:latin typeface="Cambria Math" panose="02040503050406030204" pitchFamily="18" charset="0"/>
                      </a:rPr>
                      <m:t>𝑪𝒐𝒔𝒕</m:t>
                    </m:r>
                    <m:r>
                      <a:rPr lang="en-US" sz="1100" b="1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100" b="1" i="1">
                        <a:latin typeface="Cambria Math" panose="02040503050406030204" pitchFamily="18" charset="0"/>
                      </a:rPr>
                      <m:t>𝑶𝒇</m:t>
                    </m:r>
                    <m:r>
                      <a:rPr lang="en-US" sz="1100" b="1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100" b="1" i="1">
                        <a:latin typeface="Cambria Math" panose="02040503050406030204" pitchFamily="18" charset="0"/>
                      </a:rPr>
                      <m:t>𝑪𝒂𝒑𝒊𝒕𝒂𝒍</m:t>
                    </m:r>
                    <m:r>
                      <a:rPr lang="en-US" sz="1100" b="1" i="1">
                        <a:latin typeface="Cambria Math" panose="02040503050406030204" pitchFamily="18" charset="0"/>
                      </a:rPr>
                      <m:t> =</m:t>
                    </m:r>
                    <m:r>
                      <a:rPr lang="en-US" sz="11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𝟏𝟑</m:t>
                    </m:r>
                    <m:r>
                      <a:rPr lang="en-US" sz="11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,</m:t>
                    </m:r>
                    <m:r>
                      <a:rPr lang="en-US" sz="11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𝟔𝟖</m:t>
                    </m:r>
                    <m:r>
                      <a:rPr lang="en-US" sz="11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%</m:t>
                    </m:r>
                  </m:oMath>
                </m:oMathPara>
              </a14:m>
              <a:endParaRPr lang="id-ID" sz="1100" b="1"/>
            </a:p>
          </xdr:txBody>
        </xdr:sp>
      </mc:Choice>
      <mc:Fallback xmlns="">
        <xdr:sp macro="" textlink="">
          <xdr:nvSpPr>
            <xdr:cNvPr id="9" name="Kotak Teks 8">
              <a:extLst>
                <a:ext uri="{FF2B5EF4-FFF2-40B4-BE49-F238E27FC236}">
                  <a16:creationId xmlns:a16="http://schemas.microsoft.com/office/drawing/2014/main" id="{94D97E01-C0F1-CEAA-DC2F-1A86B89374E7}"/>
                </a:ext>
              </a:extLst>
            </xdr:cNvPr>
            <xdr:cNvSpPr txBox="1"/>
          </xdr:nvSpPr>
          <xdr:spPr>
            <a:xfrm>
              <a:off x="812800" y="10371666"/>
              <a:ext cx="182184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1" i="0">
                  <a:latin typeface="Cambria Math" panose="02040503050406030204" pitchFamily="18" charset="0"/>
                </a:rPr>
                <a:t>𝑪𝒐𝒔𝒕 𝑶𝒇 𝑪𝒂𝒑𝒊𝒕𝒂𝒍 </a:t>
              </a:r>
              <a:r>
                <a:rPr lang="en-US" sz="11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=𝟏𝟑,𝟔𝟖%</a:t>
              </a:r>
              <a:endParaRPr lang="id-ID" sz="1100" b="1"/>
            </a:p>
          </xdr:txBody>
        </xdr:sp>
      </mc:Fallback>
    </mc:AlternateContent>
    <xdr:clientData/>
  </xdr:oneCellAnchor>
  <xdr:oneCellAnchor>
    <xdr:from>
      <xdr:col>9</xdr:col>
      <xdr:colOff>167640</xdr:colOff>
      <xdr:row>19</xdr:row>
      <xdr:rowOff>25400</xdr:rowOff>
    </xdr:from>
    <xdr:ext cx="3561080" cy="34804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Kotak Teks 11">
              <a:extLst>
                <a:ext uri="{FF2B5EF4-FFF2-40B4-BE49-F238E27FC236}">
                  <a16:creationId xmlns:a16="http://schemas.microsoft.com/office/drawing/2014/main" id="{7D7EC5AA-B47A-53C2-58DB-B9F394B1A938}"/>
                </a:ext>
              </a:extLst>
            </xdr:cNvPr>
            <xdr:cNvSpPr txBox="1"/>
          </xdr:nvSpPr>
          <xdr:spPr>
            <a:xfrm>
              <a:off x="8082280" y="2260600"/>
              <a:ext cx="3561080" cy="34804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𝑈𝑛𝑙𝑒𝑣𝑒𝑟𝑒𝑑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𝐵𝑒𝑡𝑎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0,90</m:t>
                        </m:r>
                      </m:num>
                      <m:den>
                        <m:r>
                          <m:rPr>
                            <m:nor/>
                          </m:rPr>
                          <a:rPr lang="id-ID" sz="1100" b="0" i="0" u="none" strike="noStrike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1</m:t>
                        </m:r>
                        <m:r>
                          <a:rPr lang="en-US" sz="1100" b="0" i="1" u="none" strike="noStrike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+(1−0,25)</m:t>
                        </m:r>
                        <m:r>
                          <a:rPr lang="en-US" sz="1100" b="0" i="1" u="none" strike="noStrike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×(0,4347)</m:t>
                        </m:r>
                      </m:den>
                    </m:f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=0,6787</m:t>
                    </m:r>
                  </m:oMath>
                </m:oMathPara>
              </a14:m>
              <a:endParaRPr lang="id-ID" sz="1100"/>
            </a:p>
          </xdr:txBody>
        </xdr:sp>
      </mc:Choice>
      <mc:Fallback xmlns="">
        <xdr:sp macro="" textlink="">
          <xdr:nvSpPr>
            <xdr:cNvPr id="12" name="Kotak Teks 11">
              <a:extLst>
                <a:ext uri="{FF2B5EF4-FFF2-40B4-BE49-F238E27FC236}">
                  <a16:creationId xmlns:a16="http://schemas.microsoft.com/office/drawing/2014/main" id="{7D7EC5AA-B47A-53C2-58DB-B9F394B1A938}"/>
                </a:ext>
              </a:extLst>
            </xdr:cNvPr>
            <xdr:cNvSpPr txBox="1"/>
          </xdr:nvSpPr>
          <xdr:spPr>
            <a:xfrm>
              <a:off x="8082280" y="2260600"/>
              <a:ext cx="3561080" cy="34804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𝑈𝑛𝑙𝑒𝑣𝑒𝑟𝑒𝑑 𝐵𝑒𝑡𝑎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=0,90/(</a:t>
              </a:r>
              <a:r>
                <a:rPr lang="id-ID" sz="1100" b="0" i="0" u="none" strike="noStrike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"1</a:t>
              </a:r>
              <a:r>
                <a:rPr lang="en-US" sz="1100" b="0" i="0" u="none" strike="noStrike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 +(1−0,25)</a:t>
              </a:r>
              <a:r>
                <a:rPr lang="en-US" sz="1100" b="0" i="0" u="none" strike="noStrike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×(0,4347))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=0,6787</a:t>
              </a:r>
              <a:endParaRPr lang="id-ID" sz="1100"/>
            </a:p>
          </xdr:txBody>
        </xdr:sp>
      </mc:Fallback>
    </mc:AlternateContent>
    <xdr:clientData/>
  </xdr:oneCellAnchor>
  <xdr:oneCellAnchor>
    <xdr:from>
      <xdr:col>8</xdr:col>
      <xdr:colOff>952874</xdr:colOff>
      <xdr:row>23</xdr:row>
      <xdr:rowOff>38025</xdr:rowOff>
    </xdr:from>
    <xdr:ext cx="4332567" cy="34195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Kotak Teks 12">
              <a:extLst>
                <a:ext uri="{FF2B5EF4-FFF2-40B4-BE49-F238E27FC236}">
                  <a16:creationId xmlns:a16="http://schemas.microsoft.com/office/drawing/2014/main" id="{3E4E3E67-5762-3E7F-5497-C9A5396BD456}"/>
                </a:ext>
              </a:extLst>
            </xdr:cNvPr>
            <xdr:cNvSpPr txBox="1"/>
          </xdr:nvSpPr>
          <xdr:spPr>
            <a:xfrm>
              <a:off x="9039786" y="4763172"/>
              <a:ext cx="4332567" cy="3419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𝑈𝑛𝑙𝑒𝑣𝑒𝑟𝑒𝑑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𝐵𝑒𝑡𝑎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 (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𝐶𝑎𝑠h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𝑃𝑒𝑒𝑟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𝐺𝑟𝑜𝑢𝑝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)=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0,6787</m:t>
                        </m:r>
                      </m:num>
                      <m:den>
                        <m:d>
                          <m:dPr>
                            <m:ctrlP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1−0,0194</m:t>
                            </m:r>
                          </m:e>
                        </m:d>
                      </m:den>
                    </m:f>
                    <m:r>
                      <a:rPr lang="id-ID" sz="1100" b="0" i="0">
                        <a:latin typeface="Cambria Math" panose="02040503050406030204" pitchFamily="18" charset="0"/>
                        <a:ea typeface="+mn-ea"/>
                      </a:rPr>
                      <m:t>=</m:t>
                    </m:r>
                    <m:r>
                      <a:rPr lang="en-US" sz="1100" b="0" i="0">
                        <a:latin typeface="Cambria Math" panose="02040503050406030204" pitchFamily="18" charset="0"/>
                        <a:ea typeface="+mn-ea"/>
                      </a:rPr>
                      <m:t>0,6921</m:t>
                    </m:r>
                  </m:oMath>
                </m:oMathPara>
              </a14:m>
              <a:endParaRPr lang="id-ID" sz="1100"/>
            </a:p>
          </xdr:txBody>
        </xdr:sp>
      </mc:Choice>
      <mc:Fallback xmlns="">
        <xdr:sp macro="" textlink="">
          <xdr:nvSpPr>
            <xdr:cNvPr id="13" name="Kotak Teks 12">
              <a:extLst>
                <a:ext uri="{FF2B5EF4-FFF2-40B4-BE49-F238E27FC236}">
                  <a16:creationId xmlns:a16="http://schemas.microsoft.com/office/drawing/2014/main" id="{3E4E3E67-5762-3E7F-5497-C9A5396BD456}"/>
                </a:ext>
              </a:extLst>
            </xdr:cNvPr>
            <xdr:cNvSpPr txBox="1"/>
          </xdr:nvSpPr>
          <xdr:spPr>
            <a:xfrm>
              <a:off x="9039786" y="4763172"/>
              <a:ext cx="4332567" cy="3419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𝑈𝑛𝑙𝑒𝑣𝑒𝑟𝑒𝑑 𝐵𝑒𝑡𝑎 (𝐶𝑎𝑠ℎ 𝑃𝑒𝑒𝑟 𝐺𝑟𝑜𝑢𝑝)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=0,6787/((1−0,0194) )</a:t>
              </a:r>
              <a:r>
                <a:rPr lang="id-ID" sz="1100" b="0" i="0">
                  <a:latin typeface="+mn-lt"/>
                  <a:ea typeface="+mn-ea"/>
                </a:rPr>
                <a:t>=</a:t>
              </a:r>
              <a:r>
                <a:rPr lang="en-US" sz="1100" b="0" i="0">
                  <a:latin typeface="Cambria Math" panose="02040503050406030204" pitchFamily="18" charset="0"/>
                  <a:ea typeface="+mn-ea"/>
                </a:rPr>
                <a:t>0,6921</a:t>
              </a:r>
              <a:endParaRPr lang="id-ID" sz="1100"/>
            </a:p>
          </xdr:txBody>
        </xdr:sp>
      </mc:Fallback>
    </mc:AlternateContent>
    <xdr:clientData/>
  </xdr:oneCellAnchor>
  <xdr:oneCellAnchor>
    <xdr:from>
      <xdr:col>9</xdr:col>
      <xdr:colOff>473037</xdr:colOff>
      <xdr:row>27</xdr:row>
      <xdr:rowOff>25400</xdr:rowOff>
    </xdr:from>
    <xdr:ext cx="3442481" cy="3215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Kotak Teks 13">
              <a:extLst>
                <a:ext uri="{FF2B5EF4-FFF2-40B4-BE49-F238E27FC236}">
                  <a16:creationId xmlns:a16="http://schemas.microsoft.com/office/drawing/2014/main" id="{4CBD40CE-C366-5BE8-0DA3-90D2DA3F008D}"/>
                </a:ext>
              </a:extLst>
            </xdr:cNvPr>
            <xdr:cNvSpPr txBox="1"/>
          </xdr:nvSpPr>
          <xdr:spPr>
            <a:xfrm>
              <a:off x="9540463" y="5572312"/>
              <a:ext cx="3442481" cy="3215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𝐿𝑒𝑣𝑒𝑟𝑒𝑑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𝐵𝑒𝑡𝑎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=0,6921 × (1+(1−0,25)×</m:t>
                    </m:r>
                    <m:d>
                      <m:dPr>
                        <m:ctrlP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20</m:t>
                            </m:r>
                          </m:num>
                          <m:den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80</m:t>
                            </m:r>
                          </m:den>
                        </m:f>
                      </m:e>
                    </m:d>
                    <m:r>
                      <a:rPr lang="en-US" sz="1100" b="0" i="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=0,82</m:t>
                    </m:r>
                  </m:oMath>
                </m:oMathPara>
              </a14:m>
              <a:endParaRPr lang="id-ID" sz="1100"/>
            </a:p>
          </xdr:txBody>
        </xdr:sp>
      </mc:Choice>
      <mc:Fallback xmlns="">
        <xdr:sp macro="" textlink="">
          <xdr:nvSpPr>
            <xdr:cNvPr id="14" name="Kotak Teks 13">
              <a:extLst>
                <a:ext uri="{FF2B5EF4-FFF2-40B4-BE49-F238E27FC236}">
                  <a16:creationId xmlns:a16="http://schemas.microsoft.com/office/drawing/2014/main" id="{4CBD40CE-C366-5BE8-0DA3-90D2DA3F008D}"/>
                </a:ext>
              </a:extLst>
            </xdr:cNvPr>
            <xdr:cNvSpPr txBox="1"/>
          </xdr:nvSpPr>
          <xdr:spPr>
            <a:xfrm>
              <a:off x="9540463" y="5572312"/>
              <a:ext cx="3442481" cy="3215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𝐿𝑒𝑣𝑒𝑟𝑒𝑑 𝐵𝑒𝑡𝑎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=0,6921 × (1+(1−0,25)×(20/80)=0,82</a:t>
              </a:r>
              <a:endParaRPr lang="id-ID" sz="1100"/>
            </a:p>
          </xdr:txBody>
        </xdr:sp>
      </mc:Fallback>
    </mc:AlternateContent>
    <xdr:clientData/>
  </xdr:oneCellAnchor>
  <xdr:oneCellAnchor>
    <xdr:from>
      <xdr:col>9</xdr:col>
      <xdr:colOff>411480</xdr:colOff>
      <xdr:row>30</xdr:row>
      <xdr:rowOff>127000</xdr:rowOff>
    </xdr:from>
    <xdr:ext cx="3393621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Kotak Teks 14">
              <a:extLst>
                <a:ext uri="{FF2B5EF4-FFF2-40B4-BE49-F238E27FC236}">
                  <a16:creationId xmlns:a16="http://schemas.microsoft.com/office/drawing/2014/main" id="{D963EE53-F57E-9BF4-043B-F02374CDDEAC}"/>
                </a:ext>
              </a:extLst>
            </xdr:cNvPr>
            <xdr:cNvSpPr txBox="1"/>
          </xdr:nvSpPr>
          <xdr:spPr>
            <a:xfrm>
              <a:off x="8326120" y="4597400"/>
              <a:ext cx="339362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1" i="1">
                        <a:latin typeface="Cambria Math" panose="02040503050406030204" pitchFamily="18" charset="0"/>
                      </a:rPr>
                      <m:t>𝑪𝒐𝒔𝒕</m:t>
                    </m:r>
                    <m:r>
                      <a:rPr lang="en-US" sz="1100" b="1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100" b="1" i="1">
                        <a:latin typeface="Cambria Math" panose="02040503050406030204" pitchFamily="18" charset="0"/>
                      </a:rPr>
                      <m:t>𝑶𝒇</m:t>
                    </m:r>
                    <m:r>
                      <a:rPr lang="en-US" sz="1100" b="1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100" b="1" i="1">
                        <a:latin typeface="Cambria Math" panose="02040503050406030204" pitchFamily="18" charset="0"/>
                      </a:rPr>
                      <m:t>𝑬𝒒𝒖𝒊𝒕𝒚</m:t>
                    </m:r>
                    <m:r>
                      <a:rPr lang="en-US" sz="11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r>
                      <a:rPr lang="en-US" sz="11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𝟒</m:t>
                    </m:r>
                    <m:r>
                      <a:rPr lang="en-US" sz="11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.</m:t>
                    </m:r>
                    <m:r>
                      <a:rPr lang="en-US" sz="11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𝟕𝟎</m:t>
                    </m:r>
                    <m:r>
                      <a:rPr lang="en-US" sz="11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%+</m:t>
                    </m:r>
                    <m:r>
                      <a:rPr lang="en-US" sz="11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𝟎</m:t>
                    </m:r>
                    <m:r>
                      <a:rPr lang="en-US" sz="11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,</m:t>
                    </m:r>
                    <m:r>
                      <a:rPr lang="en-US" sz="11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𝟖𝟐</m:t>
                    </m:r>
                    <m:r>
                      <a:rPr lang="en-US" sz="11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d>
                      <m:dPr>
                        <m:ctrlPr>
                          <a:rPr lang="en-US" sz="11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11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  <m:r>
                          <a:rPr lang="en-US" sz="11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.</m:t>
                        </m:r>
                        <m:r>
                          <a:rPr lang="en-US" sz="11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𝟖𝟖</m:t>
                        </m:r>
                        <m:r>
                          <a:rPr lang="en-US" sz="11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%</m:t>
                        </m:r>
                      </m:e>
                    </m:d>
                    <m:r>
                      <a:rPr lang="en-US" sz="11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r>
                      <a:rPr lang="en-US" sz="11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𝟗</m:t>
                    </m:r>
                    <m:r>
                      <a:rPr lang="en-US" sz="11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,</m:t>
                    </m:r>
                    <m:r>
                      <a:rPr lang="en-US" sz="11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𝟓𝟐</m:t>
                    </m:r>
                    <m:r>
                      <a:rPr lang="en-US" sz="11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%</m:t>
                    </m:r>
                  </m:oMath>
                </m:oMathPara>
              </a14:m>
              <a:endParaRPr lang="id-ID" sz="1100" b="1"/>
            </a:p>
          </xdr:txBody>
        </xdr:sp>
      </mc:Choice>
      <mc:Fallback xmlns="">
        <xdr:sp macro="" textlink="">
          <xdr:nvSpPr>
            <xdr:cNvPr id="15" name="Kotak Teks 14">
              <a:extLst>
                <a:ext uri="{FF2B5EF4-FFF2-40B4-BE49-F238E27FC236}">
                  <a16:creationId xmlns:a16="http://schemas.microsoft.com/office/drawing/2014/main" id="{D963EE53-F57E-9BF4-043B-F02374CDDEAC}"/>
                </a:ext>
              </a:extLst>
            </xdr:cNvPr>
            <xdr:cNvSpPr txBox="1"/>
          </xdr:nvSpPr>
          <xdr:spPr>
            <a:xfrm>
              <a:off x="8326120" y="4597400"/>
              <a:ext cx="339362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1" i="0">
                  <a:latin typeface="Cambria Math" panose="02040503050406030204" pitchFamily="18" charset="0"/>
                </a:rPr>
                <a:t>𝑪𝒐𝒔𝒕 𝑶𝒇 𝑬𝒒𝒖𝒊𝒕𝒚</a:t>
              </a:r>
              <a:r>
                <a:rPr lang="en-US" sz="11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=𝟒.𝟕𝟎%+𝟎,𝟖𝟐×(𝟓.𝟖𝟖%)=𝟗,𝟓𝟐%</a:t>
              </a:r>
              <a:endParaRPr lang="id-ID" sz="1100" b="1"/>
            </a:p>
          </xdr:txBody>
        </xdr:sp>
      </mc:Fallback>
    </mc:AlternateContent>
    <xdr:clientData/>
  </xdr:oneCellAnchor>
  <xdr:oneCellAnchor>
    <xdr:from>
      <xdr:col>9</xdr:col>
      <xdr:colOff>732865</xdr:colOff>
      <xdr:row>42</xdr:row>
      <xdr:rowOff>116839</xdr:rowOff>
    </xdr:from>
    <xdr:ext cx="2961132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Kotak Teks 17">
              <a:extLst>
                <a:ext uri="{FF2B5EF4-FFF2-40B4-BE49-F238E27FC236}">
                  <a16:creationId xmlns:a16="http://schemas.microsoft.com/office/drawing/2014/main" id="{5A2C396B-6977-B14D-9B47-8DB63E534BBD}"/>
                </a:ext>
              </a:extLst>
            </xdr:cNvPr>
            <xdr:cNvSpPr txBox="1"/>
          </xdr:nvSpPr>
          <xdr:spPr>
            <a:xfrm>
              <a:off x="9800291" y="8745368"/>
              <a:ext cx="296113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1" i="1">
                        <a:latin typeface="Cambria Math" panose="02040503050406030204" pitchFamily="18" charset="0"/>
                      </a:rPr>
                      <m:t>𝑪𝒐𝒔𝒕</m:t>
                    </m:r>
                    <m:r>
                      <a:rPr lang="en-US" sz="1100" b="1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100" b="1" i="1">
                        <a:latin typeface="Cambria Math" panose="02040503050406030204" pitchFamily="18" charset="0"/>
                      </a:rPr>
                      <m:t>𝑶𝒇</m:t>
                    </m:r>
                    <m:r>
                      <a:rPr lang="en-US" sz="1100" b="1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100" b="1" i="1">
                        <a:latin typeface="Cambria Math" panose="02040503050406030204" pitchFamily="18" charset="0"/>
                      </a:rPr>
                      <m:t>𝑫𝒆𝒃𝒕</m:t>
                    </m:r>
                    <m:r>
                      <a:rPr lang="en-US" sz="11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r>
                      <a:rPr lang="en-US" sz="11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𝟔</m:t>
                    </m:r>
                    <m:r>
                      <a:rPr lang="en-US" sz="11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.</m:t>
                    </m:r>
                    <m:r>
                      <a:rPr lang="en-US" sz="11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𝟐𝟎</m:t>
                    </m:r>
                    <m:r>
                      <a:rPr lang="en-US" sz="11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% × </m:t>
                    </m:r>
                    <m:d>
                      <m:dPr>
                        <m:ctrlPr>
                          <a:rPr lang="en-US" sz="11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11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𝟏</m:t>
                        </m:r>
                        <m:r>
                          <a:rPr lang="en-US" sz="11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</m:t>
                        </m:r>
                        <m:r>
                          <a:rPr lang="en-US" sz="11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𝟐𝟓</m:t>
                        </m:r>
                        <m:r>
                          <a:rPr lang="en-US" sz="11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%</m:t>
                        </m:r>
                      </m:e>
                    </m:d>
                    <m:r>
                      <a:rPr lang="en-US" sz="11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r>
                      <a:rPr lang="en-US" sz="11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𝟒</m:t>
                    </m:r>
                    <m:r>
                      <a:rPr lang="en-US" sz="11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.</m:t>
                    </m:r>
                    <m:r>
                      <a:rPr lang="en-US" sz="11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𝟔𝟓</m:t>
                    </m:r>
                    <m:r>
                      <a:rPr lang="en-US" sz="11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%</m:t>
                    </m:r>
                  </m:oMath>
                </m:oMathPara>
              </a14:m>
              <a:endParaRPr lang="id-ID" sz="1100" b="1"/>
            </a:p>
          </xdr:txBody>
        </xdr:sp>
      </mc:Choice>
      <mc:Fallback xmlns="">
        <xdr:sp macro="" textlink="">
          <xdr:nvSpPr>
            <xdr:cNvPr id="18" name="Kotak Teks 17">
              <a:extLst>
                <a:ext uri="{FF2B5EF4-FFF2-40B4-BE49-F238E27FC236}">
                  <a16:creationId xmlns:a16="http://schemas.microsoft.com/office/drawing/2014/main" id="{5A2C396B-6977-B14D-9B47-8DB63E534BBD}"/>
                </a:ext>
              </a:extLst>
            </xdr:cNvPr>
            <xdr:cNvSpPr txBox="1"/>
          </xdr:nvSpPr>
          <xdr:spPr>
            <a:xfrm>
              <a:off x="9800291" y="8745368"/>
              <a:ext cx="296113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1" i="0">
                  <a:latin typeface="Cambria Math" panose="02040503050406030204" pitchFamily="18" charset="0"/>
                </a:rPr>
                <a:t>𝑪𝒐𝒔𝒕 𝑶𝒇 𝑫𝒆𝒃𝒕</a:t>
              </a:r>
              <a:r>
                <a:rPr lang="en-US" sz="11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=𝟔.𝟐𝟎% × (𝟏−𝟐𝟓%)=𝟒.𝟔𝟓%</a:t>
              </a:r>
              <a:endParaRPr lang="id-ID" sz="1100" b="1"/>
            </a:p>
          </xdr:txBody>
        </xdr:sp>
      </mc:Fallback>
    </mc:AlternateContent>
    <xdr:clientData/>
  </xdr:oneCellAnchor>
  <xdr:oneCellAnchor>
    <xdr:from>
      <xdr:col>7</xdr:col>
      <xdr:colOff>467285</xdr:colOff>
      <xdr:row>29</xdr:row>
      <xdr:rowOff>191807</xdr:rowOff>
    </xdr:from>
    <xdr:ext cx="65" cy="172098"/>
    <xdr:sp macro="" textlink="">
      <xdr:nvSpPr>
        <xdr:cNvPr id="19" name="Kotak Teks 18">
          <a:extLst>
            <a:ext uri="{FF2B5EF4-FFF2-40B4-BE49-F238E27FC236}">
              <a16:creationId xmlns:a16="http://schemas.microsoft.com/office/drawing/2014/main" id="{B2DDC235-A08B-3099-2BAB-7A85D52D850C}"/>
            </a:ext>
          </a:extLst>
        </xdr:cNvPr>
        <xdr:cNvSpPr txBox="1"/>
      </xdr:nvSpPr>
      <xdr:spPr>
        <a:xfrm>
          <a:off x="7246844" y="4506072"/>
          <a:ext cx="65" cy="1720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663387</xdr:colOff>
      <xdr:row>39</xdr:row>
      <xdr:rowOff>126440</xdr:rowOff>
    </xdr:from>
    <xdr:ext cx="3075394" cy="17209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" name="Kotak Teks 20">
              <a:extLst>
                <a:ext uri="{FF2B5EF4-FFF2-40B4-BE49-F238E27FC236}">
                  <a16:creationId xmlns:a16="http://schemas.microsoft.com/office/drawing/2014/main" id="{E8280F0B-665B-C20A-434D-D163BC22A081}"/>
                </a:ext>
              </a:extLst>
            </xdr:cNvPr>
            <xdr:cNvSpPr txBox="1"/>
          </xdr:nvSpPr>
          <xdr:spPr>
            <a:xfrm>
              <a:off x="9730813" y="8138646"/>
              <a:ext cx="3075394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𝑃𝑟𝑒</m:t>
                    </m:r>
                    <m:r>
                      <m:rPr>
                        <m:nor/>
                      </m:rPr>
                      <a:rPr lang="en-US" sz="1100" b="0" i="0">
                        <a:latin typeface="Cambria Math" panose="02040503050406030204" pitchFamily="18" charset="0"/>
                      </a:rPr>
                      <m:t>−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𝑡𝑎𝑥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𝐶𝑜𝑠𝑡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𝑂𝑓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𝐷𝑒𝑏𝑡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=4.70%+1.50%=6.20%</m:t>
                    </m:r>
                  </m:oMath>
                </m:oMathPara>
              </a14:m>
              <a:endParaRPr lang="id-ID" sz="1100"/>
            </a:p>
          </xdr:txBody>
        </xdr:sp>
      </mc:Choice>
      <mc:Fallback xmlns="">
        <xdr:sp macro="" textlink="">
          <xdr:nvSpPr>
            <xdr:cNvPr id="21" name="Kotak Teks 20">
              <a:extLst>
                <a:ext uri="{FF2B5EF4-FFF2-40B4-BE49-F238E27FC236}">
                  <a16:creationId xmlns:a16="http://schemas.microsoft.com/office/drawing/2014/main" id="{E8280F0B-665B-C20A-434D-D163BC22A081}"/>
                </a:ext>
              </a:extLst>
            </xdr:cNvPr>
            <xdr:cNvSpPr txBox="1"/>
          </xdr:nvSpPr>
          <xdr:spPr>
            <a:xfrm>
              <a:off x="9730813" y="8138646"/>
              <a:ext cx="3075394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𝑃𝑟𝑒"-" 𝑡𝑎𝑥 𝐶𝑜𝑠𝑡 𝑂𝑓 𝐷𝑒𝑏𝑡=4.70%+1.50%=6.20%</a:t>
              </a:r>
              <a:endParaRPr lang="id-ID" sz="1100"/>
            </a:p>
          </xdr:txBody>
        </xdr:sp>
      </mc:Fallback>
    </mc:AlternateContent>
    <xdr:clientData/>
  </xdr:oneCellAnchor>
  <xdr:oneCellAnchor>
    <xdr:from>
      <xdr:col>1</xdr:col>
      <xdr:colOff>180788</xdr:colOff>
      <xdr:row>25</xdr:row>
      <xdr:rowOff>129428</xdr:rowOff>
    </xdr:from>
    <xdr:ext cx="3075394" cy="17209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" name="Kotak Teks 21">
              <a:extLst>
                <a:ext uri="{FF2B5EF4-FFF2-40B4-BE49-F238E27FC236}">
                  <a16:creationId xmlns:a16="http://schemas.microsoft.com/office/drawing/2014/main" id="{A73EF8C6-55B8-5745-9FD4-53A57D99393F}"/>
                </a:ext>
              </a:extLst>
            </xdr:cNvPr>
            <xdr:cNvSpPr txBox="1"/>
          </xdr:nvSpPr>
          <xdr:spPr>
            <a:xfrm>
              <a:off x="423582" y="3621928"/>
              <a:ext cx="3075394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𝑃𝑟𝑒</m:t>
                    </m:r>
                    <m:r>
                      <m:rPr>
                        <m:nor/>
                      </m:rPr>
                      <a:rPr lang="en-US" sz="1100" b="0" i="0">
                        <a:latin typeface="Cambria Math" panose="02040503050406030204" pitchFamily="18" charset="0"/>
                      </a:rPr>
                      <m:t>−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𝑡𝑎𝑥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𝐶𝑜𝑠𝑡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𝑂𝑓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𝐷𝑒𝑏𝑡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=4.70%+1.50%=6.20%</m:t>
                    </m:r>
                  </m:oMath>
                </m:oMathPara>
              </a14:m>
              <a:endParaRPr lang="id-ID" sz="1100"/>
            </a:p>
          </xdr:txBody>
        </xdr:sp>
      </mc:Choice>
      <mc:Fallback xmlns="">
        <xdr:sp macro="" textlink="">
          <xdr:nvSpPr>
            <xdr:cNvPr id="22" name="Kotak Teks 21">
              <a:extLst>
                <a:ext uri="{FF2B5EF4-FFF2-40B4-BE49-F238E27FC236}">
                  <a16:creationId xmlns:a16="http://schemas.microsoft.com/office/drawing/2014/main" id="{A73EF8C6-55B8-5745-9FD4-53A57D99393F}"/>
                </a:ext>
              </a:extLst>
            </xdr:cNvPr>
            <xdr:cNvSpPr txBox="1"/>
          </xdr:nvSpPr>
          <xdr:spPr>
            <a:xfrm>
              <a:off x="423582" y="3621928"/>
              <a:ext cx="3075394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𝑃𝑟𝑒"-" 𝑡𝑎𝑥 𝐶𝑜𝑠𝑡 𝑂𝑓 𝐷𝑒𝑏𝑡=4.70%+1.50%=6.20%</a:t>
              </a:r>
              <a:endParaRPr lang="id-ID" sz="1100"/>
            </a:p>
          </xdr:txBody>
        </xdr:sp>
      </mc:Fallback>
    </mc:AlternateContent>
    <xdr:clientData/>
  </xdr:oneCellAnchor>
  <xdr:oneCellAnchor>
    <xdr:from>
      <xdr:col>9</xdr:col>
      <xdr:colOff>187140</xdr:colOff>
      <xdr:row>54</xdr:row>
      <xdr:rowOff>126438</xdr:rowOff>
    </xdr:from>
    <xdr:ext cx="4805354" cy="17209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" name="Kotak Teks 23">
              <a:extLst>
                <a:ext uri="{FF2B5EF4-FFF2-40B4-BE49-F238E27FC236}">
                  <a16:creationId xmlns:a16="http://schemas.microsoft.com/office/drawing/2014/main" id="{E0923618-3633-5A14-3C3C-E6A6E017A386}"/>
                </a:ext>
              </a:extLst>
            </xdr:cNvPr>
            <xdr:cNvSpPr txBox="1"/>
          </xdr:nvSpPr>
          <xdr:spPr>
            <a:xfrm>
              <a:off x="8077949" y="9576732"/>
              <a:ext cx="4805354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𝐶𝑜𝑠𝑡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𝑂𝑓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𝐶𝑎𝑝𝑖𝑡𝑎𝑙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𝐶𝑜𝑠𝑡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𝑂𝑓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𝐸𝑞𝑢𝑖𝑡𝑦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 × </m:t>
                    </m:r>
                    <m:f>
                      <m:fPr>
                        <m:type m:val="lin"/>
                        <m:ctrlP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𝐸</m:t>
                        </m:r>
                      </m:num>
                      <m:den>
                        <m:d>
                          <m:dPr>
                            <m:ctrlP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𝐸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+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𝐷</m:t>
                            </m:r>
                          </m:e>
                        </m:d>
                      </m:den>
                    </m:f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𝐶𝑜𝑠𝑡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𝑂𝑓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𝐷𝑒𝑏𝑡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×</m:t>
                    </m:r>
                    <m:f>
                      <m:fPr>
                        <m:type m:val="lin"/>
                        <m:ctrlP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𝐷</m:t>
                        </m:r>
                      </m:num>
                      <m:den>
                        <m:d>
                          <m:dPr>
                            <m:ctrlP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𝐸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+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𝐷</m:t>
                            </m:r>
                          </m:e>
                        </m:d>
                      </m:den>
                    </m:f>
                  </m:oMath>
                </m:oMathPara>
              </a14:m>
              <a:endParaRPr lang="id-ID" sz="1100"/>
            </a:p>
          </xdr:txBody>
        </xdr:sp>
      </mc:Choice>
      <mc:Fallback xmlns="">
        <xdr:sp macro="" textlink="">
          <xdr:nvSpPr>
            <xdr:cNvPr id="24" name="Kotak Teks 23">
              <a:extLst>
                <a:ext uri="{FF2B5EF4-FFF2-40B4-BE49-F238E27FC236}">
                  <a16:creationId xmlns:a16="http://schemas.microsoft.com/office/drawing/2014/main" id="{E0923618-3633-5A14-3C3C-E6A6E017A386}"/>
                </a:ext>
              </a:extLst>
            </xdr:cNvPr>
            <xdr:cNvSpPr txBox="1"/>
          </xdr:nvSpPr>
          <xdr:spPr>
            <a:xfrm>
              <a:off x="8077949" y="9576732"/>
              <a:ext cx="4805354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𝐶𝑜𝑠𝑡 𝑂𝑓 𝐶𝑎𝑝𝑖𝑡𝑎𝑙=𝐶𝑜𝑠𝑡 𝑂𝑓 𝐸𝑞𝑢𝑖𝑡𝑦 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×  𝐸∕(𝐸+𝐷) +𝐶𝑜𝑠𝑡 𝑂𝑓 𝐷𝑒𝑏𝑡 ×𝐷∕(𝐸+𝐷) </a:t>
              </a:r>
              <a:endParaRPr lang="id-ID" sz="1100"/>
            </a:p>
          </xdr:txBody>
        </xdr:sp>
      </mc:Fallback>
    </mc:AlternateContent>
    <xdr:clientData/>
  </xdr:oneCellAnchor>
  <xdr:oneCellAnchor>
    <xdr:from>
      <xdr:col>1</xdr:col>
      <xdr:colOff>190128</xdr:colOff>
      <xdr:row>51</xdr:row>
      <xdr:rowOff>82736</xdr:rowOff>
    </xdr:from>
    <xdr:ext cx="4805354" cy="17209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" name="Kotak Teks 24">
              <a:extLst>
                <a:ext uri="{FF2B5EF4-FFF2-40B4-BE49-F238E27FC236}">
                  <a16:creationId xmlns:a16="http://schemas.microsoft.com/office/drawing/2014/main" id="{FD3BD5D8-3517-4343-8BDF-DDF670428555}"/>
                </a:ext>
              </a:extLst>
            </xdr:cNvPr>
            <xdr:cNvSpPr txBox="1"/>
          </xdr:nvSpPr>
          <xdr:spPr>
            <a:xfrm>
              <a:off x="432922" y="8916707"/>
              <a:ext cx="4805354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𝐶𝑜𝑠𝑡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𝑂𝑓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𝐶𝑎𝑝𝑖𝑡𝑎𝑙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𝐶𝑜𝑠𝑡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𝑂𝑓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𝐸𝑞𝑢𝑖𝑡𝑦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 × </m:t>
                    </m:r>
                    <m:f>
                      <m:fPr>
                        <m:type m:val="lin"/>
                        <m:ctrlP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𝐸</m:t>
                        </m:r>
                      </m:num>
                      <m:den>
                        <m:d>
                          <m:dPr>
                            <m:ctrlP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𝐸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+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𝐷</m:t>
                            </m:r>
                          </m:e>
                        </m:d>
                      </m:den>
                    </m:f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𝐶𝑜𝑠𝑡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𝑂𝑓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𝐷𝑒𝑏𝑡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×</m:t>
                    </m:r>
                    <m:f>
                      <m:fPr>
                        <m:type m:val="lin"/>
                        <m:ctrlP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𝐷</m:t>
                        </m:r>
                      </m:num>
                      <m:den>
                        <m:d>
                          <m:dPr>
                            <m:ctrlP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𝐸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+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𝐷</m:t>
                            </m:r>
                          </m:e>
                        </m:d>
                      </m:den>
                    </m:f>
                  </m:oMath>
                </m:oMathPara>
              </a14:m>
              <a:endParaRPr lang="id-ID" sz="1100"/>
            </a:p>
          </xdr:txBody>
        </xdr:sp>
      </mc:Choice>
      <mc:Fallback xmlns="">
        <xdr:sp macro="" textlink="">
          <xdr:nvSpPr>
            <xdr:cNvPr id="25" name="Kotak Teks 24">
              <a:extLst>
                <a:ext uri="{FF2B5EF4-FFF2-40B4-BE49-F238E27FC236}">
                  <a16:creationId xmlns:a16="http://schemas.microsoft.com/office/drawing/2014/main" id="{FD3BD5D8-3517-4343-8BDF-DDF670428555}"/>
                </a:ext>
              </a:extLst>
            </xdr:cNvPr>
            <xdr:cNvSpPr txBox="1"/>
          </xdr:nvSpPr>
          <xdr:spPr>
            <a:xfrm>
              <a:off x="432922" y="8916707"/>
              <a:ext cx="4805354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𝐶𝑜𝑠𝑡 𝑂𝑓 𝐶𝑎𝑝𝑖𝑡𝑎𝑙=𝐶𝑜𝑠𝑡 𝑂𝑓 𝐸𝑞𝑢𝑖𝑡𝑦 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×  𝐸∕(𝐸+𝐷) +𝐶𝑜𝑠𝑡 𝑂𝑓 𝐷𝑒𝑏𝑡 ×𝐷∕(𝐸+𝐷) </a:t>
              </a:r>
              <a:endParaRPr lang="id-ID" sz="1100"/>
            </a:p>
          </xdr:txBody>
        </xdr:sp>
      </mc:Fallback>
    </mc:AlternateContent>
    <xdr:clientData/>
  </xdr:oneCellAnchor>
  <xdr:oneCellAnchor>
    <xdr:from>
      <xdr:col>9</xdr:col>
      <xdr:colOff>747432</xdr:colOff>
      <xdr:row>56</xdr:row>
      <xdr:rowOff>98426</xdr:rowOff>
    </xdr:from>
    <xdr:ext cx="2849370" cy="17209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" name="Kotak Teks 25">
              <a:extLst>
                <a:ext uri="{FF2B5EF4-FFF2-40B4-BE49-F238E27FC236}">
                  <a16:creationId xmlns:a16="http://schemas.microsoft.com/office/drawing/2014/main" id="{EAAA5D57-6F72-25FB-F2AE-1048DE56D217}"/>
                </a:ext>
              </a:extLst>
            </xdr:cNvPr>
            <xdr:cNvSpPr txBox="1"/>
          </xdr:nvSpPr>
          <xdr:spPr>
            <a:xfrm>
              <a:off x="8638241" y="9959602"/>
              <a:ext cx="2849370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𝐶𝑜𝑠𝑡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𝑂𝑓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𝐶𝑎𝑝𝑖𝑡𝑎𝑙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=9.52% × 0,8+4,65% × 0,2</m:t>
                    </m:r>
                  </m:oMath>
                </m:oMathPara>
              </a14:m>
              <a:endParaRPr lang="id-ID" sz="1100"/>
            </a:p>
          </xdr:txBody>
        </xdr:sp>
      </mc:Choice>
      <mc:Fallback xmlns="">
        <xdr:sp macro="" textlink="">
          <xdr:nvSpPr>
            <xdr:cNvPr id="26" name="Kotak Teks 25">
              <a:extLst>
                <a:ext uri="{FF2B5EF4-FFF2-40B4-BE49-F238E27FC236}">
                  <a16:creationId xmlns:a16="http://schemas.microsoft.com/office/drawing/2014/main" id="{EAAA5D57-6F72-25FB-F2AE-1048DE56D217}"/>
                </a:ext>
              </a:extLst>
            </xdr:cNvPr>
            <xdr:cNvSpPr txBox="1"/>
          </xdr:nvSpPr>
          <xdr:spPr>
            <a:xfrm>
              <a:off x="8638241" y="9959602"/>
              <a:ext cx="2849370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𝐶𝑜𝑠𝑡 𝑂𝑓 𝐶𝑎𝑝𝑖𝑡𝑎𝑙=9.52% 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× 0,8+4,65% × 0,2</a:t>
              </a:r>
              <a:endParaRPr lang="id-ID" sz="1100"/>
            </a:p>
          </xdr:txBody>
        </xdr:sp>
      </mc:Fallback>
    </mc:AlternateContent>
    <xdr:clientData/>
  </xdr:oneCellAnchor>
  <xdr:oneCellAnchor>
    <xdr:from>
      <xdr:col>9</xdr:col>
      <xdr:colOff>1783976</xdr:colOff>
      <xdr:row>58</xdr:row>
      <xdr:rowOff>23719</xdr:rowOff>
    </xdr:from>
    <xdr:ext cx="949106" cy="17209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" name="Kotak Teks 26">
              <a:extLst>
                <a:ext uri="{FF2B5EF4-FFF2-40B4-BE49-F238E27FC236}">
                  <a16:creationId xmlns:a16="http://schemas.microsoft.com/office/drawing/2014/main" id="{7ED3E431-8DF1-6A65-B910-D3A131D998F2}"/>
                </a:ext>
              </a:extLst>
            </xdr:cNvPr>
            <xdr:cNvSpPr txBox="1"/>
          </xdr:nvSpPr>
          <xdr:spPr>
            <a:xfrm>
              <a:off x="9674785" y="10295778"/>
              <a:ext cx="949106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=7,616+0,93</m:t>
                    </m:r>
                  </m:oMath>
                </m:oMathPara>
              </a14:m>
              <a:endParaRPr lang="id-ID" sz="1100"/>
            </a:p>
          </xdr:txBody>
        </xdr:sp>
      </mc:Choice>
      <mc:Fallback xmlns="">
        <xdr:sp macro="" textlink="">
          <xdr:nvSpPr>
            <xdr:cNvPr id="27" name="Kotak Teks 26">
              <a:extLst>
                <a:ext uri="{FF2B5EF4-FFF2-40B4-BE49-F238E27FC236}">
                  <a16:creationId xmlns:a16="http://schemas.microsoft.com/office/drawing/2014/main" id="{7ED3E431-8DF1-6A65-B910-D3A131D998F2}"/>
                </a:ext>
              </a:extLst>
            </xdr:cNvPr>
            <xdr:cNvSpPr txBox="1"/>
          </xdr:nvSpPr>
          <xdr:spPr>
            <a:xfrm>
              <a:off x="9674785" y="10295778"/>
              <a:ext cx="949106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=7,616+0,93</a:t>
              </a:r>
              <a:endParaRPr lang="id-ID" sz="1100"/>
            </a:p>
          </xdr:txBody>
        </xdr:sp>
      </mc:Fallback>
    </mc:AlternateContent>
    <xdr:clientData/>
  </xdr:oneCellAnchor>
  <xdr:oneCellAnchor>
    <xdr:from>
      <xdr:col>9</xdr:col>
      <xdr:colOff>672725</xdr:colOff>
      <xdr:row>59</xdr:row>
      <xdr:rowOff>126440</xdr:rowOff>
    </xdr:from>
    <xdr:ext cx="1706429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" name="Kotak Teks 27">
              <a:extLst>
                <a:ext uri="{FF2B5EF4-FFF2-40B4-BE49-F238E27FC236}">
                  <a16:creationId xmlns:a16="http://schemas.microsoft.com/office/drawing/2014/main" id="{57324FE7-7167-87CD-1714-19868AF358A0}"/>
                </a:ext>
              </a:extLst>
            </xdr:cNvPr>
            <xdr:cNvSpPr txBox="1"/>
          </xdr:nvSpPr>
          <xdr:spPr>
            <a:xfrm>
              <a:off x="8563534" y="10603940"/>
              <a:ext cx="1706429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1" i="1">
                        <a:latin typeface="Cambria Math" panose="02040503050406030204" pitchFamily="18" charset="0"/>
                      </a:rPr>
                      <m:t>𝑪𝒐𝒔𝒕</m:t>
                    </m:r>
                    <m:r>
                      <a:rPr lang="en-US" sz="1100" b="1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100" b="1" i="1">
                        <a:latin typeface="Cambria Math" panose="02040503050406030204" pitchFamily="18" charset="0"/>
                      </a:rPr>
                      <m:t>𝑶𝒇</m:t>
                    </m:r>
                    <m:r>
                      <a:rPr lang="en-US" sz="1100" b="1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100" b="1" i="1">
                        <a:latin typeface="Cambria Math" panose="02040503050406030204" pitchFamily="18" charset="0"/>
                      </a:rPr>
                      <m:t>𝑪𝒂𝒑𝒊𝒕𝒂𝒍</m:t>
                    </m:r>
                    <m:r>
                      <a:rPr lang="en-US" sz="1100" b="1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1100" b="1" i="1">
                        <a:latin typeface="Cambria Math" panose="02040503050406030204" pitchFamily="18" charset="0"/>
                      </a:rPr>
                      <m:t>𝟖</m:t>
                    </m:r>
                    <m:r>
                      <a:rPr lang="en-US" sz="1100" b="1" i="1">
                        <a:latin typeface="Cambria Math" panose="02040503050406030204" pitchFamily="18" charset="0"/>
                      </a:rPr>
                      <m:t>,</m:t>
                    </m:r>
                    <m:r>
                      <a:rPr lang="en-US" sz="1100" b="1" i="1">
                        <a:latin typeface="Cambria Math" panose="02040503050406030204" pitchFamily="18" charset="0"/>
                      </a:rPr>
                      <m:t>𝟓𝟓</m:t>
                    </m:r>
                    <m:r>
                      <a:rPr lang="en-US" sz="1100" b="1" i="1">
                        <a:latin typeface="Cambria Math" panose="02040503050406030204" pitchFamily="18" charset="0"/>
                      </a:rPr>
                      <m:t>%</m:t>
                    </m:r>
                  </m:oMath>
                </m:oMathPara>
              </a14:m>
              <a:endParaRPr lang="id-ID" sz="1100" b="1"/>
            </a:p>
          </xdr:txBody>
        </xdr:sp>
      </mc:Choice>
      <mc:Fallback xmlns="">
        <xdr:sp macro="" textlink="">
          <xdr:nvSpPr>
            <xdr:cNvPr id="28" name="Kotak Teks 27">
              <a:extLst>
                <a:ext uri="{FF2B5EF4-FFF2-40B4-BE49-F238E27FC236}">
                  <a16:creationId xmlns:a16="http://schemas.microsoft.com/office/drawing/2014/main" id="{57324FE7-7167-87CD-1714-19868AF358A0}"/>
                </a:ext>
              </a:extLst>
            </xdr:cNvPr>
            <xdr:cNvSpPr txBox="1"/>
          </xdr:nvSpPr>
          <xdr:spPr>
            <a:xfrm>
              <a:off x="8563534" y="10603940"/>
              <a:ext cx="1706429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1" i="0">
                  <a:latin typeface="Cambria Math" panose="02040503050406030204" pitchFamily="18" charset="0"/>
                </a:rPr>
                <a:t>𝑪𝒐𝒔𝒕 𝑶𝒇 𝑪𝒂𝒑𝒊𝒕𝒂𝒍=𝟖,𝟓𝟓%</a:t>
              </a:r>
              <a:endParaRPr lang="id-ID" sz="1100" b="1"/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377371</xdr:colOff>
      <xdr:row>30</xdr:row>
      <xdr:rowOff>105228</xdr:rowOff>
    </xdr:from>
    <xdr:ext cx="2243909" cy="36213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Kotak Teks 2">
              <a:extLst>
                <a:ext uri="{FF2B5EF4-FFF2-40B4-BE49-F238E27FC236}">
                  <a16:creationId xmlns:a16="http://schemas.microsoft.com/office/drawing/2014/main" id="{94472362-D6C0-235B-37A8-B859D0851717}"/>
                </a:ext>
              </a:extLst>
            </xdr:cNvPr>
            <xdr:cNvSpPr txBox="1"/>
          </xdr:nvSpPr>
          <xdr:spPr>
            <a:xfrm>
              <a:off x="661851" y="6506028"/>
              <a:ext cx="2243909" cy="36213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14:m>
                <m:oMath xmlns:m="http://schemas.openxmlformats.org/officeDocument/2006/math">
                  <m:r>
                    <a:rPr lang="en-US" sz="1200" b="0" i="1">
                      <a:latin typeface="Cambria Math" panose="02040503050406030204" pitchFamily="18" charset="0"/>
                    </a:rPr>
                    <m:t>𝑃𝑟𝑒𝑠𝑒𝑛𝑡</m:t>
                  </m:r>
                  <m:r>
                    <a:rPr lang="en-US" sz="1200" b="0" i="1">
                      <a:latin typeface="Cambria Math" panose="02040503050406030204" pitchFamily="18" charset="0"/>
                    </a:rPr>
                    <m:t> </m:t>
                  </m:r>
                  <m:r>
                    <a:rPr lang="en-US" sz="1200" b="0" i="1">
                      <a:latin typeface="Cambria Math" panose="02040503050406030204" pitchFamily="18" charset="0"/>
                    </a:rPr>
                    <m:t>𝑉𝑎𝑙𝑢𝑒</m:t>
                  </m:r>
                  <m:r>
                    <a:rPr lang="en-US" sz="1200" b="0" i="1">
                      <a:latin typeface="Cambria Math" panose="02040503050406030204" pitchFamily="18" charset="0"/>
                    </a:rPr>
                    <m:t> </m:t>
                  </m:r>
                  <m:d>
                    <m:dPr>
                      <m:ctrlPr>
                        <a:rPr lang="en-US" sz="1200" b="0" i="1">
                          <a:latin typeface="Cambria Math" panose="02040503050406030204" pitchFamily="18" charset="0"/>
                        </a:rPr>
                      </m:ctrlPr>
                    </m:dPr>
                    <m:e>
                      <m:r>
                        <a:rPr lang="en-US" sz="1200" b="0" i="1">
                          <a:latin typeface="Cambria Math" panose="02040503050406030204" pitchFamily="18" charset="0"/>
                        </a:rPr>
                        <m:t>𝑃𝑉</m:t>
                      </m:r>
                    </m:e>
                  </m:d>
                  <m:r>
                    <a:rPr lang="en-US" sz="1200" b="0" i="1">
                      <a:latin typeface="Cambria Math" panose="02040503050406030204" pitchFamily="18" charset="0"/>
                    </a:rPr>
                    <m:t>=</m:t>
                  </m:r>
                  <m:f>
                    <m:fPr>
                      <m:ctrlPr>
                        <a:rPr lang="en-US" sz="12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sSub>
                        <m:sSubPr>
                          <m:ctrlPr>
                            <a:rPr lang="en-US" sz="1200" b="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en-US" sz="1200" b="0" i="1">
                              <a:latin typeface="Cambria Math" panose="02040503050406030204" pitchFamily="18" charset="0"/>
                            </a:rPr>
                            <m:t>𝐶𝑎𝑠h</m:t>
                          </m:r>
                          <m:r>
                            <a:rPr lang="en-US" sz="1200" b="0" i="1">
                              <a:latin typeface="Cambria Math" panose="02040503050406030204" pitchFamily="18" charset="0"/>
                            </a:rPr>
                            <m:t> </m:t>
                          </m:r>
                          <m:r>
                            <a:rPr lang="en-US" sz="1200" b="0" i="1">
                              <a:latin typeface="Cambria Math" panose="02040503050406030204" pitchFamily="18" charset="0"/>
                            </a:rPr>
                            <m:t>𝐹𝑙𝑜𝑤</m:t>
                          </m:r>
                        </m:e>
                        <m:sub>
                          <m:r>
                            <a:rPr lang="en-US" sz="1200" b="0" i="1">
                              <a:latin typeface="Cambria Math" panose="02040503050406030204" pitchFamily="18" charset="0"/>
                            </a:rPr>
                            <m:t>𝑡</m:t>
                          </m:r>
                        </m:sub>
                      </m:sSub>
                    </m:num>
                    <m:den>
                      <m:sSup>
                        <m:sSupPr>
                          <m:ctrlPr>
                            <a:rPr lang="en-US" sz="1200" b="0" i="1">
                              <a:latin typeface="Cambria Math" panose="02040503050406030204" pitchFamily="18" charset="0"/>
                            </a:rPr>
                          </m:ctrlPr>
                        </m:sSupPr>
                        <m:e>
                          <m:r>
                            <a:rPr lang="en-US" sz="1200" b="0" i="1">
                              <a:latin typeface="Cambria Math" panose="02040503050406030204" pitchFamily="18" charset="0"/>
                            </a:rPr>
                            <m:t>(1+</m:t>
                          </m:r>
                          <m:r>
                            <a:rPr lang="en-US" sz="1200" b="0" i="1">
                              <a:latin typeface="Cambria Math" panose="02040503050406030204" pitchFamily="18" charset="0"/>
                            </a:rPr>
                            <m:t>𝑟</m:t>
                          </m:r>
                          <m:r>
                            <a:rPr lang="en-US" sz="1200" b="0" i="1">
                              <a:latin typeface="Cambria Math" panose="02040503050406030204" pitchFamily="18" charset="0"/>
                            </a:rPr>
                            <m:t>)</m:t>
                          </m:r>
                        </m:e>
                        <m:sup>
                          <m:r>
                            <a:rPr lang="en-US" sz="1200" b="0" i="1">
                              <a:latin typeface="Cambria Math" panose="02040503050406030204" pitchFamily="18" charset="0"/>
                            </a:rPr>
                            <m:t>𝑡</m:t>
                          </m:r>
                        </m:sup>
                      </m:sSup>
                    </m:den>
                  </m:f>
                </m:oMath>
              </a14:m>
              <a:r>
                <a:rPr lang="id-ID" sz="1200"/>
                <a:t> </a:t>
              </a:r>
            </a:p>
          </xdr:txBody>
        </xdr:sp>
      </mc:Choice>
      <mc:Fallback xmlns="">
        <xdr:sp macro="" textlink="">
          <xdr:nvSpPr>
            <xdr:cNvPr id="3" name="Kotak Teks 2">
              <a:extLst>
                <a:ext uri="{FF2B5EF4-FFF2-40B4-BE49-F238E27FC236}">
                  <a16:creationId xmlns:a16="http://schemas.microsoft.com/office/drawing/2014/main" id="{94472362-D6C0-235B-37A8-B859D0851717}"/>
                </a:ext>
              </a:extLst>
            </xdr:cNvPr>
            <xdr:cNvSpPr txBox="1"/>
          </xdr:nvSpPr>
          <xdr:spPr>
            <a:xfrm>
              <a:off x="661851" y="6506028"/>
              <a:ext cx="2243909" cy="36213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n-US" sz="1200" b="0" i="0">
                  <a:latin typeface="Cambria Math" panose="02040503050406030204" pitchFamily="18" charset="0"/>
                </a:rPr>
                <a:t>𝑃𝑟𝑒𝑠𝑒𝑛𝑡 𝑉𝑎𝑙𝑢𝑒 (𝑃𝑉)=〖𝐶𝑎𝑠ℎ 𝐹𝑙𝑜𝑤〗_𝑡/〖(1+𝑟)〗^𝑡 </a:t>
              </a:r>
              <a:r>
                <a:rPr lang="id-ID" sz="1200"/>
                <a:t> </a:t>
              </a:r>
            </a:p>
          </xdr:txBody>
        </xdr:sp>
      </mc:Fallback>
    </mc:AlternateContent>
    <xdr:clientData/>
  </xdr:oneCellAnchor>
  <xdr:oneCellAnchor>
    <xdr:from>
      <xdr:col>1</xdr:col>
      <xdr:colOff>343625</xdr:colOff>
      <xdr:row>47</xdr:row>
      <xdr:rowOff>100874</xdr:rowOff>
    </xdr:from>
    <xdr:ext cx="2333844" cy="38337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Kotak Teks 4">
              <a:extLst>
                <a:ext uri="{FF2B5EF4-FFF2-40B4-BE49-F238E27FC236}">
                  <a16:creationId xmlns:a16="http://schemas.microsoft.com/office/drawing/2014/main" id="{4F939190-7CF0-6F47-ACEA-905E171CBB0B}"/>
                </a:ext>
              </a:extLst>
            </xdr:cNvPr>
            <xdr:cNvSpPr txBox="1"/>
          </xdr:nvSpPr>
          <xdr:spPr>
            <a:xfrm>
              <a:off x="628105" y="10199914"/>
              <a:ext cx="2333844" cy="38337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0" i="1">
                        <a:latin typeface="Cambria Math" panose="02040503050406030204" pitchFamily="18" charset="0"/>
                      </a:rPr>
                      <m:t>𝑃𝑟𝑒𝑠𝑒𝑛𝑡</m:t>
                    </m:r>
                    <m:r>
                      <a:rPr lang="en-US" sz="12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200" b="0" i="1">
                        <a:latin typeface="Cambria Math" panose="02040503050406030204" pitchFamily="18" charset="0"/>
                      </a:rPr>
                      <m:t>𝑉𝑎𝑙𝑢𝑒</m:t>
                    </m:r>
                    <m:r>
                      <a:rPr lang="en-US" sz="1200" b="0" i="1">
                        <a:latin typeface="Cambria Math" panose="02040503050406030204" pitchFamily="18" charset="0"/>
                      </a:rPr>
                      <m:t> </m:t>
                    </m:r>
                    <m:d>
                      <m:dPr>
                        <m:ctrlPr>
                          <a:rPr lang="en-US" sz="12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1200" b="0" i="1">
                            <a:latin typeface="Cambria Math" panose="02040503050406030204" pitchFamily="18" charset="0"/>
                          </a:rPr>
                          <m:t>𝑃𝑉</m:t>
                        </m:r>
                      </m:e>
                    </m:d>
                    <m:r>
                      <a:rPr lang="en-US" sz="12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2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sz="12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200" b="0" i="1">
                                <a:latin typeface="Cambria Math" panose="02040503050406030204" pitchFamily="18" charset="0"/>
                              </a:rPr>
                              <m:t>𝐶𝑎𝑠h</m:t>
                            </m:r>
                            <m:r>
                              <a:rPr lang="en-US" sz="1200" b="0" i="1">
                                <a:latin typeface="Cambria Math" panose="02040503050406030204" pitchFamily="18" charset="0"/>
                              </a:rPr>
                              <m:t> </m:t>
                            </m:r>
                            <m:r>
                              <a:rPr lang="en-US" sz="1200" b="0" i="1">
                                <a:latin typeface="Cambria Math" panose="02040503050406030204" pitchFamily="18" charset="0"/>
                              </a:rPr>
                              <m:t>𝐹𝑙𝑜𝑤</m:t>
                            </m:r>
                          </m:e>
                          <m:sub>
                            <m:r>
                              <a:rPr lang="en-US" sz="1200" b="0" i="1">
                                <a:latin typeface="Cambria Math" panose="02040503050406030204" pitchFamily="18" charset="0"/>
                              </a:rPr>
                              <m:t>𝑡</m:t>
                            </m:r>
                          </m:sub>
                        </m:sSub>
                      </m:num>
                      <m:den>
                        <m:sSup>
                          <m:sSupPr>
                            <m:ctrlPr>
                              <a:rPr lang="en-US" sz="12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200" b="0" i="1">
                                <a:latin typeface="Cambria Math" panose="02040503050406030204" pitchFamily="18" charset="0"/>
                              </a:rPr>
                              <m:t>(1+</m:t>
                            </m:r>
                            <m:r>
                              <a:rPr lang="en-US" sz="1200" b="0" i="1">
                                <a:latin typeface="Cambria Math" panose="02040503050406030204" pitchFamily="18" charset="0"/>
                              </a:rPr>
                              <m:t>𝑟</m:t>
                            </m:r>
                            <m:r>
                              <a:rPr lang="en-US" sz="1200" b="0" i="1">
                                <a:latin typeface="Cambria Math" panose="02040503050406030204" pitchFamily="18" charset="0"/>
                              </a:rPr>
                              <m:t>)</m:t>
                            </m:r>
                          </m:e>
                          <m:sup>
                            <m:r>
                              <a:rPr lang="en-US" sz="1200" b="0" i="1">
                                <a:latin typeface="Cambria Math" panose="02040503050406030204" pitchFamily="18" charset="0"/>
                              </a:rPr>
                              <m:t>𝑡</m:t>
                            </m:r>
                          </m:sup>
                        </m:sSup>
                      </m:den>
                    </m:f>
                  </m:oMath>
                </m:oMathPara>
              </a14:m>
              <a:endParaRPr lang="id-ID" sz="1200"/>
            </a:p>
          </xdr:txBody>
        </xdr:sp>
      </mc:Choice>
      <mc:Fallback xmlns="">
        <xdr:sp macro="" textlink="">
          <xdr:nvSpPr>
            <xdr:cNvPr id="5" name="Kotak Teks 4">
              <a:extLst>
                <a:ext uri="{FF2B5EF4-FFF2-40B4-BE49-F238E27FC236}">
                  <a16:creationId xmlns:a16="http://schemas.microsoft.com/office/drawing/2014/main" id="{4F939190-7CF0-6F47-ACEA-905E171CBB0B}"/>
                </a:ext>
              </a:extLst>
            </xdr:cNvPr>
            <xdr:cNvSpPr txBox="1"/>
          </xdr:nvSpPr>
          <xdr:spPr>
            <a:xfrm>
              <a:off x="628105" y="10199914"/>
              <a:ext cx="2333844" cy="38337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200" b="0" i="0">
                  <a:latin typeface="Cambria Math" panose="02040503050406030204" pitchFamily="18" charset="0"/>
                </a:rPr>
                <a:t>𝑃𝑟𝑒𝑠𝑒𝑛𝑡 𝑉𝑎𝑙𝑢𝑒 (𝑃𝑉)=〖𝐶𝑎𝑠ℎ 𝐹𝑙𝑜𝑤〗_𝑡/〖(1+𝑟)〗^𝑡 </a:t>
              </a:r>
              <a:endParaRPr lang="id-ID" sz="1200"/>
            </a:p>
          </xdr:txBody>
        </xdr:sp>
      </mc:Fallback>
    </mc:AlternateContent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136327</xdr:colOff>
      <xdr:row>44</xdr:row>
      <xdr:rowOff>136329</xdr:rowOff>
    </xdr:from>
    <xdr:ext cx="2333844" cy="38337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Kotak Teks 1">
              <a:extLst>
                <a:ext uri="{FF2B5EF4-FFF2-40B4-BE49-F238E27FC236}">
                  <a16:creationId xmlns:a16="http://schemas.microsoft.com/office/drawing/2014/main" id="{62CF9B87-3547-3847-8FC5-BB5A4A71E871}"/>
                </a:ext>
              </a:extLst>
            </xdr:cNvPr>
            <xdr:cNvSpPr txBox="1"/>
          </xdr:nvSpPr>
          <xdr:spPr>
            <a:xfrm>
              <a:off x="530960" y="6622657"/>
              <a:ext cx="2333844" cy="38337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0" i="1">
                        <a:latin typeface="Cambria Math" panose="02040503050406030204" pitchFamily="18" charset="0"/>
                      </a:rPr>
                      <m:t>𝑃𝑟𝑒𝑠𝑒𝑛𝑡</m:t>
                    </m:r>
                    <m:r>
                      <a:rPr lang="en-US" sz="12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200" b="0" i="1">
                        <a:latin typeface="Cambria Math" panose="02040503050406030204" pitchFamily="18" charset="0"/>
                      </a:rPr>
                      <m:t>𝑉𝑎𝑙𝑢𝑒</m:t>
                    </m:r>
                    <m:r>
                      <a:rPr lang="en-US" sz="1200" b="0" i="1">
                        <a:latin typeface="Cambria Math" panose="02040503050406030204" pitchFamily="18" charset="0"/>
                      </a:rPr>
                      <m:t> </m:t>
                    </m:r>
                    <m:d>
                      <m:dPr>
                        <m:ctrlPr>
                          <a:rPr lang="en-US" sz="12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1200" b="0" i="1">
                            <a:latin typeface="Cambria Math" panose="02040503050406030204" pitchFamily="18" charset="0"/>
                          </a:rPr>
                          <m:t>𝑃𝑉</m:t>
                        </m:r>
                      </m:e>
                    </m:d>
                    <m:r>
                      <a:rPr lang="en-US" sz="12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2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sz="12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200" b="0" i="1">
                                <a:latin typeface="Cambria Math" panose="02040503050406030204" pitchFamily="18" charset="0"/>
                              </a:rPr>
                              <m:t>𝐶𝑎𝑠h</m:t>
                            </m:r>
                            <m:r>
                              <a:rPr lang="en-US" sz="1200" b="0" i="1">
                                <a:latin typeface="Cambria Math" panose="02040503050406030204" pitchFamily="18" charset="0"/>
                              </a:rPr>
                              <m:t> </m:t>
                            </m:r>
                            <m:r>
                              <a:rPr lang="en-US" sz="1200" b="0" i="1">
                                <a:latin typeface="Cambria Math" panose="02040503050406030204" pitchFamily="18" charset="0"/>
                              </a:rPr>
                              <m:t>𝐹𝑙𝑜𝑤</m:t>
                            </m:r>
                          </m:e>
                          <m:sub>
                            <m:r>
                              <a:rPr lang="en-US" sz="1200" b="0" i="1">
                                <a:latin typeface="Cambria Math" panose="02040503050406030204" pitchFamily="18" charset="0"/>
                              </a:rPr>
                              <m:t>𝑡</m:t>
                            </m:r>
                          </m:sub>
                        </m:sSub>
                      </m:num>
                      <m:den>
                        <m:sSup>
                          <m:sSupPr>
                            <m:ctrlPr>
                              <a:rPr lang="en-US" sz="12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200" b="0" i="1">
                                <a:latin typeface="Cambria Math" panose="02040503050406030204" pitchFamily="18" charset="0"/>
                              </a:rPr>
                              <m:t>(1+</m:t>
                            </m:r>
                            <m:r>
                              <a:rPr lang="en-US" sz="1200" b="0" i="1">
                                <a:latin typeface="Cambria Math" panose="02040503050406030204" pitchFamily="18" charset="0"/>
                              </a:rPr>
                              <m:t>𝑟</m:t>
                            </m:r>
                            <m:r>
                              <a:rPr lang="en-US" sz="1200" b="0" i="1">
                                <a:latin typeface="Cambria Math" panose="02040503050406030204" pitchFamily="18" charset="0"/>
                              </a:rPr>
                              <m:t>)</m:t>
                            </m:r>
                          </m:e>
                          <m:sup>
                            <m:r>
                              <a:rPr lang="en-US" sz="1200" b="0" i="1">
                                <a:latin typeface="Cambria Math" panose="02040503050406030204" pitchFamily="18" charset="0"/>
                              </a:rPr>
                              <m:t>𝑡</m:t>
                            </m:r>
                          </m:sup>
                        </m:sSup>
                      </m:den>
                    </m:f>
                  </m:oMath>
                </m:oMathPara>
              </a14:m>
              <a:endParaRPr lang="id-ID" sz="1200"/>
            </a:p>
          </xdr:txBody>
        </xdr:sp>
      </mc:Choice>
      <mc:Fallback xmlns="">
        <xdr:sp macro="" textlink="">
          <xdr:nvSpPr>
            <xdr:cNvPr id="2" name="Kotak Teks 1">
              <a:extLst>
                <a:ext uri="{FF2B5EF4-FFF2-40B4-BE49-F238E27FC236}">
                  <a16:creationId xmlns:a16="http://schemas.microsoft.com/office/drawing/2014/main" id="{62CF9B87-3547-3847-8FC5-BB5A4A71E871}"/>
                </a:ext>
              </a:extLst>
            </xdr:cNvPr>
            <xdr:cNvSpPr txBox="1"/>
          </xdr:nvSpPr>
          <xdr:spPr>
            <a:xfrm>
              <a:off x="530960" y="6622657"/>
              <a:ext cx="2333844" cy="38337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0" i="0">
                  <a:latin typeface="Cambria Math" panose="02040503050406030204" pitchFamily="18" charset="0"/>
                </a:rPr>
                <a:t>𝑃𝑟𝑒𝑠𝑒𝑛𝑡 𝑉𝑎𝑙𝑢𝑒 (𝑃𝑉)=〖𝐶𝑎𝑠ℎ 𝐹𝑙𝑜𝑤〗_𝑡/〖(1+𝑟)〗^𝑡 </a:t>
              </a:r>
              <a:endParaRPr lang="id-ID" sz="1200"/>
            </a:p>
          </xdr:txBody>
        </xdr:sp>
      </mc:Fallback>
    </mc:AlternateContent>
    <xdr:clientData/>
  </xdr:oneCellAnchor>
  <xdr:oneCellAnchor>
    <xdr:from>
      <xdr:col>1</xdr:col>
      <xdr:colOff>144880</xdr:colOff>
      <xdr:row>61</xdr:row>
      <xdr:rowOff>150737</xdr:rowOff>
    </xdr:from>
    <xdr:ext cx="2333844" cy="38337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Kotak Teks 2">
              <a:extLst>
                <a:ext uri="{FF2B5EF4-FFF2-40B4-BE49-F238E27FC236}">
                  <a16:creationId xmlns:a16="http://schemas.microsoft.com/office/drawing/2014/main" id="{31FF39B9-44D6-194F-B7E1-7EC16041CB38}"/>
                </a:ext>
              </a:extLst>
            </xdr:cNvPr>
            <xdr:cNvSpPr txBox="1"/>
          </xdr:nvSpPr>
          <xdr:spPr>
            <a:xfrm>
              <a:off x="541120" y="10188817"/>
              <a:ext cx="2333844" cy="38337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0" i="1">
                        <a:latin typeface="Cambria Math" panose="02040503050406030204" pitchFamily="18" charset="0"/>
                      </a:rPr>
                      <m:t>𝑃𝑟𝑒𝑠𝑒𝑛𝑡</m:t>
                    </m:r>
                    <m:r>
                      <a:rPr lang="en-US" sz="12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200" b="0" i="1">
                        <a:latin typeface="Cambria Math" panose="02040503050406030204" pitchFamily="18" charset="0"/>
                      </a:rPr>
                      <m:t>𝑉𝑎𝑙𝑢𝑒</m:t>
                    </m:r>
                    <m:r>
                      <a:rPr lang="en-US" sz="1200" b="0" i="1">
                        <a:latin typeface="Cambria Math" panose="02040503050406030204" pitchFamily="18" charset="0"/>
                      </a:rPr>
                      <m:t> </m:t>
                    </m:r>
                    <m:d>
                      <m:dPr>
                        <m:ctrlPr>
                          <a:rPr lang="en-US" sz="12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1200" b="0" i="1">
                            <a:latin typeface="Cambria Math" panose="02040503050406030204" pitchFamily="18" charset="0"/>
                          </a:rPr>
                          <m:t>𝑃𝑉</m:t>
                        </m:r>
                      </m:e>
                    </m:d>
                    <m:r>
                      <a:rPr lang="en-US" sz="12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2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sz="12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200" b="0" i="1">
                                <a:latin typeface="Cambria Math" panose="02040503050406030204" pitchFamily="18" charset="0"/>
                              </a:rPr>
                              <m:t>𝐶𝑎𝑠h</m:t>
                            </m:r>
                            <m:r>
                              <a:rPr lang="en-US" sz="1200" b="0" i="1">
                                <a:latin typeface="Cambria Math" panose="02040503050406030204" pitchFamily="18" charset="0"/>
                              </a:rPr>
                              <m:t> </m:t>
                            </m:r>
                            <m:r>
                              <a:rPr lang="en-US" sz="1200" b="0" i="1">
                                <a:latin typeface="Cambria Math" panose="02040503050406030204" pitchFamily="18" charset="0"/>
                              </a:rPr>
                              <m:t>𝐹𝑙𝑜𝑤</m:t>
                            </m:r>
                          </m:e>
                          <m:sub>
                            <m:r>
                              <a:rPr lang="en-US" sz="1200" b="0" i="1">
                                <a:latin typeface="Cambria Math" panose="02040503050406030204" pitchFamily="18" charset="0"/>
                              </a:rPr>
                              <m:t>𝑡</m:t>
                            </m:r>
                          </m:sub>
                        </m:sSub>
                      </m:num>
                      <m:den>
                        <m:sSup>
                          <m:sSupPr>
                            <m:ctrlPr>
                              <a:rPr lang="en-US" sz="12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200" b="0" i="1">
                                <a:latin typeface="Cambria Math" panose="02040503050406030204" pitchFamily="18" charset="0"/>
                              </a:rPr>
                              <m:t>(1+</m:t>
                            </m:r>
                            <m:r>
                              <a:rPr lang="en-US" sz="1200" b="0" i="1">
                                <a:latin typeface="Cambria Math" panose="02040503050406030204" pitchFamily="18" charset="0"/>
                              </a:rPr>
                              <m:t>𝑟</m:t>
                            </m:r>
                            <m:r>
                              <a:rPr lang="en-US" sz="1200" b="0" i="1">
                                <a:latin typeface="Cambria Math" panose="02040503050406030204" pitchFamily="18" charset="0"/>
                              </a:rPr>
                              <m:t>)</m:t>
                            </m:r>
                          </m:e>
                          <m:sup>
                            <m:r>
                              <a:rPr lang="en-US" sz="1200" b="0" i="1">
                                <a:latin typeface="Cambria Math" panose="02040503050406030204" pitchFamily="18" charset="0"/>
                              </a:rPr>
                              <m:t>𝑡</m:t>
                            </m:r>
                          </m:sup>
                        </m:sSup>
                      </m:den>
                    </m:f>
                  </m:oMath>
                </m:oMathPara>
              </a14:m>
              <a:endParaRPr lang="id-ID" sz="1200"/>
            </a:p>
          </xdr:txBody>
        </xdr:sp>
      </mc:Choice>
      <mc:Fallback xmlns="">
        <xdr:sp macro="" textlink="">
          <xdr:nvSpPr>
            <xdr:cNvPr id="3" name="Kotak Teks 2">
              <a:extLst>
                <a:ext uri="{FF2B5EF4-FFF2-40B4-BE49-F238E27FC236}">
                  <a16:creationId xmlns:a16="http://schemas.microsoft.com/office/drawing/2014/main" id="{31FF39B9-44D6-194F-B7E1-7EC16041CB38}"/>
                </a:ext>
              </a:extLst>
            </xdr:cNvPr>
            <xdr:cNvSpPr txBox="1"/>
          </xdr:nvSpPr>
          <xdr:spPr>
            <a:xfrm>
              <a:off x="541120" y="10188817"/>
              <a:ext cx="2333844" cy="38337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0" i="0">
                  <a:latin typeface="Cambria Math" panose="02040503050406030204" pitchFamily="18" charset="0"/>
                </a:rPr>
                <a:t>𝑃𝑟𝑒𝑠𝑒𝑛𝑡 𝑉𝑎𝑙𝑢𝑒 (𝑃𝑉)=〖𝐶𝑎𝑠ℎ 𝐹𝑙𝑜𝑤〗_𝑡/〖(1+𝑟)〗^𝑡 </a:t>
              </a:r>
              <a:endParaRPr lang="id-ID" sz="1200"/>
            </a:p>
          </xdr:txBody>
        </xdr:sp>
      </mc:Fallback>
    </mc:AlternateContent>
    <xdr:clientData/>
  </xdr:oneCellAnchor>
  <xdr:oneCellAnchor>
    <xdr:from>
      <xdr:col>1</xdr:col>
      <xdr:colOff>65852</xdr:colOff>
      <xdr:row>31</xdr:row>
      <xdr:rowOff>156789</xdr:rowOff>
    </xdr:from>
    <xdr:ext cx="2584134" cy="40092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Kotak Teks 3">
              <a:extLst>
                <a:ext uri="{FF2B5EF4-FFF2-40B4-BE49-F238E27FC236}">
                  <a16:creationId xmlns:a16="http://schemas.microsoft.com/office/drawing/2014/main" id="{BACC2662-DF94-8F4D-8EA2-B92DDAF51186}"/>
                </a:ext>
              </a:extLst>
            </xdr:cNvPr>
            <xdr:cNvSpPr txBox="1"/>
          </xdr:nvSpPr>
          <xdr:spPr>
            <a:xfrm>
              <a:off x="457827" y="6130493"/>
              <a:ext cx="2584134" cy="4009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𝑇𝑒𝑟𝑚𝑖𝑛𝑎𝑙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𝑉𝑎𝑙𝑢𝑒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𝐶𝑎𝑠h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 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𝐹𝑙𝑜𝑤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16</m:t>
                            </m:r>
                          </m:sub>
                        </m:sSub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(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𝑊𝐴𝐶𝐶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𝑔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)</m:t>
                        </m:r>
                      </m:den>
                    </m:f>
                  </m:oMath>
                </m:oMathPara>
              </a14:m>
              <a:endParaRPr lang="id-ID" sz="1100" b="0"/>
            </a:p>
          </xdr:txBody>
        </xdr:sp>
      </mc:Choice>
      <mc:Fallback xmlns="">
        <xdr:sp macro="" textlink="">
          <xdr:nvSpPr>
            <xdr:cNvPr id="4" name="Kotak Teks 3">
              <a:extLst>
                <a:ext uri="{FF2B5EF4-FFF2-40B4-BE49-F238E27FC236}">
                  <a16:creationId xmlns:a16="http://schemas.microsoft.com/office/drawing/2014/main" id="{BACC2662-DF94-8F4D-8EA2-B92DDAF51186}"/>
                </a:ext>
              </a:extLst>
            </xdr:cNvPr>
            <xdr:cNvSpPr txBox="1"/>
          </xdr:nvSpPr>
          <xdr:spPr>
            <a:xfrm>
              <a:off x="457827" y="6130493"/>
              <a:ext cx="2584134" cy="4009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𝑇𝑒𝑟𝑚𝑖𝑛𝑎𝑙 𝑉𝑎𝑙𝑢𝑒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=〖𝐶𝑎𝑠ℎ 𝐹𝑙𝑜𝑤〗_16/((𝑊𝐴𝐶𝐶−𝑔))</a:t>
              </a:r>
              <a:endParaRPr lang="id-ID" sz="1100" b="0"/>
            </a:p>
          </xdr:txBody>
        </xdr:sp>
      </mc:Fallback>
    </mc:AlternateContent>
    <xdr:clientData/>
  </xdr:oneCellAnchor>
  <xdr:oneCellAnchor>
    <xdr:from>
      <xdr:col>1</xdr:col>
      <xdr:colOff>1396843</xdr:colOff>
      <xdr:row>34</xdr:row>
      <xdr:rowOff>40609</xdr:rowOff>
    </xdr:from>
    <xdr:ext cx="1144352" cy="34804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Kotak Teks 10">
              <a:extLst>
                <a:ext uri="{FF2B5EF4-FFF2-40B4-BE49-F238E27FC236}">
                  <a16:creationId xmlns:a16="http://schemas.microsoft.com/office/drawing/2014/main" id="{DB9B6253-80B6-F6DC-3753-B6BD0C2F8A5A}"/>
                </a:ext>
              </a:extLst>
            </xdr:cNvPr>
            <xdr:cNvSpPr txBox="1"/>
          </xdr:nvSpPr>
          <xdr:spPr>
            <a:xfrm>
              <a:off x="1788818" y="6625794"/>
              <a:ext cx="1144352" cy="34804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148,86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(0,0855−0,03)</m:t>
                        </m:r>
                      </m:den>
                    </m:f>
                  </m:oMath>
                </m:oMathPara>
              </a14:m>
              <a:endParaRPr lang="id-ID" sz="1100"/>
            </a:p>
          </xdr:txBody>
        </xdr:sp>
      </mc:Choice>
      <mc:Fallback xmlns="">
        <xdr:sp macro="" textlink="">
          <xdr:nvSpPr>
            <xdr:cNvPr id="11" name="Kotak Teks 10">
              <a:extLst>
                <a:ext uri="{FF2B5EF4-FFF2-40B4-BE49-F238E27FC236}">
                  <a16:creationId xmlns:a16="http://schemas.microsoft.com/office/drawing/2014/main" id="{DB9B6253-80B6-F6DC-3753-B6BD0C2F8A5A}"/>
                </a:ext>
              </a:extLst>
            </xdr:cNvPr>
            <xdr:cNvSpPr txBox="1"/>
          </xdr:nvSpPr>
          <xdr:spPr>
            <a:xfrm>
              <a:off x="1788818" y="6625794"/>
              <a:ext cx="1144352" cy="34804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=148,86/((0,0855−0,03))</a:t>
              </a:r>
              <a:endParaRPr lang="id-ID" sz="1100"/>
            </a:p>
          </xdr:txBody>
        </xdr:sp>
      </mc:Fallback>
    </mc:AlternateContent>
    <xdr:clientData/>
  </xdr:oneCellAnchor>
  <xdr:oneCellAnchor>
    <xdr:from>
      <xdr:col>1</xdr:col>
      <xdr:colOff>1389004</xdr:colOff>
      <xdr:row>36</xdr:row>
      <xdr:rowOff>197399</xdr:rowOff>
    </xdr:from>
    <xdr:ext cx="1291636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Kotak Teks 11">
              <a:extLst>
                <a:ext uri="{FF2B5EF4-FFF2-40B4-BE49-F238E27FC236}">
                  <a16:creationId xmlns:a16="http://schemas.microsoft.com/office/drawing/2014/main" id="{D996548E-FA6A-3576-48FA-8A4B1D21BA48}"/>
                </a:ext>
              </a:extLst>
            </xdr:cNvPr>
            <xdr:cNvSpPr txBox="1"/>
          </xdr:nvSpPr>
          <xdr:spPr>
            <a:xfrm>
              <a:off x="1780979" y="7190239"/>
              <a:ext cx="129163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=$ 2.682,09 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𝑚𝑖𝑙𝑙𝑖𝑜𝑛</m:t>
                    </m:r>
                  </m:oMath>
                </m:oMathPara>
              </a14:m>
              <a:endParaRPr lang="id-ID" sz="1100"/>
            </a:p>
          </xdr:txBody>
        </xdr:sp>
      </mc:Choice>
      <mc:Fallback xmlns="">
        <xdr:sp macro="" textlink="">
          <xdr:nvSpPr>
            <xdr:cNvPr id="12" name="Kotak Teks 11">
              <a:extLst>
                <a:ext uri="{FF2B5EF4-FFF2-40B4-BE49-F238E27FC236}">
                  <a16:creationId xmlns:a16="http://schemas.microsoft.com/office/drawing/2014/main" id="{D996548E-FA6A-3576-48FA-8A4B1D21BA48}"/>
                </a:ext>
              </a:extLst>
            </xdr:cNvPr>
            <xdr:cNvSpPr txBox="1"/>
          </xdr:nvSpPr>
          <xdr:spPr>
            <a:xfrm>
              <a:off x="1780979" y="7190239"/>
              <a:ext cx="129163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=$ 2.682,09 𝑚𝑖𝑙𝑙𝑖𝑜𝑛</a:t>
              </a:r>
              <a:endParaRPr lang="id-ID" sz="1100"/>
            </a:p>
          </xdr:txBody>
        </xdr:sp>
      </mc:Fallback>
    </mc:AlternateContent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359762</xdr:colOff>
      <xdr:row>22</xdr:row>
      <xdr:rowOff>55429</xdr:rowOff>
    </xdr:from>
    <xdr:ext cx="3850218" cy="42968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Kotak Teks 1">
              <a:extLst>
                <a:ext uri="{FF2B5EF4-FFF2-40B4-BE49-F238E27FC236}">
                  <a16:creationId xmlns:a16="http://schemas.microsoft.com/office/drawing/2014/main" id="{B7D3A7B1-6B17-812F-63F3-B2A07699714D}"/>
                </a:ext>
              </a:extLst>
            </xdr:cNvPr>
            <xdr:cNvSpPr txBox="1"/>
          </xdr:nvSpPr>
          <xdr:spPr>
            <a:xfrm>
              <a:off x="1880971" y="4870264"/>
              <a:ext cx="3850218" cy="42968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𝑅𝑒𝑡𝑢𝑟𝑛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𝑂𝑛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𝐶𝑎𝑝𝑖𝑡𝑎𝑙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 </m:t>
                    </m:r>
                    <m:d>
                      <m:d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𝑅𝑂𝐶</m:t>
                        </m:r>
                      </m:e>
                    </m:d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𝐴𝑓𝑡𝑒𝑟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𝑡𝑎𝑥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𝑂𝑝𝑒𝑟𝑎𝑡𝑖𝑜𝑛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𝐼𝑛𝑐𝑜𝑚𝑒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𝐼𝑛𝑣𝑒𝑠𝑡𝑒𝑑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𝐶𝑎𝑝𝑖𝑡𝑎𝑙</m:t>
                        </m:r>
                      </m:den>
                    </m:f>
                  </m:oMath>
                </m:oMathPara>
              </a14:m>
              <a:endParaRPr lang="id-ID" sz="1100"/>
            </a:p>
          </xdr:txBody>
        </xdr:sp>
      </mc:Choice>
      <mc:Fallback xmlns="">
        <xdr:sp macro="" textlink="">
          <xdr:nvSpPr>
            <xdr:cNvPr id="2" name="Kotak Teks 1">
              <a:extLst>
                <a:ext uri="{FF2B5EF4-FFF2-40B4-BE49-F238E27FC236}">
                  <a16:creationId xmlns:a16="http://schemas.microsoft.com/office/drawing/2014/main" id="{B7D3A7B1-6B17-812F-63F3-B2A07699714D}"/>
                </a:ext>
              </a:extLst>
            </xdr:cNvPr>
            <xdr:cNvSpPr txBox="1"/>
          </xdr:nvSpPr>
          <xdr:spPr>
            <a:xfrm>
              <a:off x="1880971" y="4870264"/>
              <a:ext cx="3850218" cy="42968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𝑅𝑒𝑡𝑢𝑟𝑛 𝑂𝑛 𝐶𝑎𝑝𝑖𝑡𝑎𝑙 (𝑅𝑂𝐶)=(𝐴𝑓𝑡𝑒𝑟−𝑡𝑎𝑥 𝑂𝑝𝑒𝑟𝑎𝑡𝑖𝑜𝑛 𝐼𝑛𝑐𝑜𝑚𝑒)/(𝐼𝑛𝑣𝑒𝑠𝑡𝑒𝑑 𝐶𝑎𝑝𝑖𝑡𝑎𝑙)</a:t>
              </a:r>
              <a:endParaRPr lang="id-ID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D84BD-8EE7-A948-8F0C-2D2F9351EC08}">
  <dimension ref="A1:O108"/>
  <sheetViews>
    <sheetView zoomScale="136" zoomScaleNormal="108" workbookViewId="0">
      <selection activeCell="G10" sqref="G10"/>
    </sheetView>
  </sheetViews>
  <sheetFormatPr baseColWidth="10" defaultRowHeight="16" x14ac:dyDescent="0.2"/>
  <cols>
    <col min="1" max="1" width="3.1640625" style="6" customWidth="1"/>
    <col min="2" max="2" width="26" style="1" customWidth="1"/>
    <col min="3" max="3" width="18" style="1" customWidth="1"/>
    <col min="4" max="4" width="17.1640625" style="1" customWidth="1"/>
    <col min="5" max="5" width="13" style="1" customWidth="1"/>
    <col min="6" max="6" width="9.6640625" style="1" customWidth="1"/>
    <col min="7" max="7" width="8.33203125" style="1" customWidth="1"/>
    <col min="8" max="8" width="10.83203125" style="1"/>
    <col min="9" max="9" width="12.83203125" style="6" customWidth="1"/>
    <col min="10" max="10" width="31.1640625" style="1" customWidth="1"/>
    <col min="11" max="11" width="16.6640625" style="1" customWidth="1"/>
    <col min="12" max="16384" width="10.83203125" style="1"/>
  </cols>
  <sheetData>
    <row r="1" spans="1:12" ht="16" customHeight="1" x14ac:dyDescent="0.2">
      <c r="B1" s="120" t="s">
        <v>237</v>
      </c>
      <c r="C1" s="120"/>
      <c r="D1" s="120"/>
      <c r="E1" s="120"/>
      <c r="F1" s="120"/>
      <c r="G1" s="120"/>
      <c r="H1" s="120"/>
      <c r="I1" s="120"/>
      <c r="J1" s="120"/>
      <c r="K1" s="120"/>
      <c r="L1" s="120"/>
    </row>
    <row r="2" spans="1:12" ht="16" customHeight="1" x14ac:dyDescent="0.2"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0"/>
    </row>
    <row r="3" spans="1:12" x14ac:dyDescent="0.2">
      <c r="B3" s="119"/>
      <c r="C3" s="119"/>
      <c r="D3" s="119"/>
      <c r="E3" s="119"/>
      <c r="F3" s="119"/>
      <c r="G3" s="119"/>
      <c r="H3" s="119"/>
      <c r="I3" s="119"/>
      <c r="J3" s="119"/>
      <c r="K3" s="119"/>
      <c r="L3" s="119"/>
    </row>
    <row r="4" spans="1:12" x14ac:dyDescent="0.2">
      <c r="B4" s="6"/>
      <c r="C4" s="6"/>
      <c r="D4" s="6"/>
      <c r="E4" s="6"/>
      <c r="F4" s="6"/>
      <c r="G4" s="6"/>
      <c r="H4" s="6"/>
      <c r="J4" s="6"/>
      <c r="K4" s="6"/>
      <c r="L4" s="6"/>
    </row>
    <row r="5" spans="1:12" x14ac:dyDescent="0.2">
      <c r="B5" s="8" t="s">
        <v>70</v>
      </c>
      <c r="C5" s="8" t="s">
        <v>68</v>
      </c>
      <c r="D5" s="8" t="s">
        <v>69</v>
      </c>
    </row>
    <row r="6" spans="1:12" x14ac:dyDescent="0.2">
      <c r="B6" s="3" t="s">
        <v>1</v>
      </c>
      <c r="C6" s="42">
        <v>0.13689999999999999</v>
      </c>
      <c r="D6" s="42">
        <v>9.5200000000000007E-2</v>
      </c>
    </row>
    <row r="7" spans="1:12" x14ac:dyDescent="0.2">
      <c r="B7" s="3" t="s">
        <v>22</v>
      </c>
      <c r="C7" s="121">
        <v>4.65E-2</v>
      </c>
      <c r="D7" s="122"/>
    </row>
    <row r="8" spans="1:12" x14ac:dyDescent="0.2">
      <c r="B8" s="3" t="s">
        <v>40</v>
      </c>
      <c r="C8" s="42">
        <v>0.1368</v>
      </c>
      <c r="D8" s="42">
        <v>8.5500000000000007E-2</v>
      </c>
    </row>
    <row r="11" spans="1:12" x14ac:dyDescent="0.2">
      <c r="A11" s="7" t="s">
        <v>0</v>
      </c>
      <c r="B11" s="5" t="s">
        <v>63</v>
      </c>
      <c r="I11" s="19" t="s">
        <v>0</v>
      </c>
      <c r="J11" s="5" t="s">
        <v>66</v>
      </c>
    </row>
    <row r="12" spans="1:12" x14ac:dyDescent="0.2">
      <c r="B12" s="3" t="s">
        <v>2</v>
      </c>
      <c r="C12" s="4" t="s">
        <v>3</v>
      </c>
      <c r="J12" s="3" t="s">
        <v>51</v>
      </c>
      <c r="K12" s="30">
        <v>0.9</v>
      </c>
    </row>
    <row r="13" spans="1:12" x14ac:dyDescent="0.2">
      <c r="B13" s="3" t="s">
        <v>4</v>
      </c>
      <c r="C13" s="4" t="s">
        <v>5</v>
      </c>
      <c r="J13" s="3" t="s">
        <v>52</v>
      </c>
      <c r="K13" s="9" t="s">
        <v>50</v>
      </c>
    </row>
    <row r="14" spans="1:12" x14ac:dyDescent="0.2">
      <c r="B14" s="24" t="s">
        <v>6</v>
      </c>
      <c r="C14" s="25" t="s">
        <v>7</v>
      </c>
      <c r="J14" s="3" t="s">
        <v>53</v>
      </c>
      <c r="K14" s="43">
        <v>1.9400000000000001E-2</v>
      </c>
    </row>
    <row r="15" spans="1:12" x14ac:dyDescent="0.2">
      <c r="B15" s="125"/>
      <c r="C15" s="125"/>
      <c r="D15" s="125"/>
      <c r="J15" s="3" t="s">
        <v>24</v>
      </c>
      <c r="K15" s="44">
        <v>0.25</v>
      </c>
    </row>
    <row r="16" spans="1:12" x14ac:dyDescent="0.2">
      <c r="B16" s="125"/>
      <c r="C16" s="125"/>
      <c r="D16" s="125"/>
      <c r="J16" s="3" t="s">
        <v>54</v>
      </c>
      <c r="K16" s="44">
        <v>0.2</v>
      </c>
    </row>
    <row r="17" spans="1:15" x14ac:dyDescent="0.2">
      <c r="B17" s="125"/>
      <c r="C17" s="125"/>
      <c r="D17" s="125"/>
      <c r="J17" s="3" t="s">
        <v>55</v>
      </c>
      <c r="K17" s="44">
        <v>0.8</v>
      </c>
    </row>
    <row r="18" spans="1:15" x14ac:dyDescent="0.2">
      <c r="B18" s="26" t="s">
        <v>17</v>
      </c>
      <c r="C18" s="27" t="s">
        <v>20</v>
      </c>
    </row>
    <row r="19" spans="1:15" x14ac:dyDescent="0.2">
      <c r="B19" s="3" t="s">
        <v>18</v>
      </c>
      <c r="C19" s="9" t="s">
        <v>46</v>
      </c>
      <c r="J19" s="12" t="s">
        <v>56</v>
      </c>
    </row>
    <row r="20" spans="1:15" x14ac:dyDescent="0.2">
      <c r="B20" s="11" t="s">
        <v>19</v>
      </c>
      <c r="C20" s="15" t="s">
        <v>47</v>
      </c>
      <c r="J20" s="123"/>
      <c r="K20" s="123"/>
      <c r="L20" s="123"/>
    </row>
    <row r="21" spans="1:15" x14ac:dyDescent="0.2">
      <c r="J21" s="123"/>
      <c r="K21" s="123"/>
      <c r="L21" s="123"/>
    </row>
    <row r="22" spans="1:15" x14ac:dyDescent="0.2">
      <c r="A22" s="7" t="s">
        <v>21</v>
      </c>
      <c r="B22" s="5" t="s">
        <v>64</v>
      </c>
    </row>
    <row r="23" spans="1:15" x14ac:dyDescent="0.2">
      <c r="B23" s="3" t="s">
        <v>2</v>
      </c>
      <c r="C23" s="9" t="s">
        <v>25</v>
      </c>
      <c r="J23" s="12" t="s">
        <v>57</v>
      </c>
    </row>
    <row r="24" spans="1:15" x14ac:dyDescent="0.2">
      <c r="B24" s="3" t="s">
        <v>23</v>
      </c>
      <c r="C24" s="9" t="s">
        <v>26</v>
      </c>
      <c r="J24" s="123"/>
      <c r="K24" s="123"/>
      <c r="L24" s="123"/>
    </row>
    <row r="25" spans="1:15" x14ac:dyDescent="0.2">
      <c r="B25" s="3" t="s">
        <v>24</v>
      </c>
      <c r="C25" s="44">
        <v>0.25</v>
      </c>
      <c r="J25" s="123"/>
      <c r="K25" s="123"/>
      <c r="L25" s="123"/>
    </row>
    <row r="26" spans="1:15" x14ac:dyDescent="0.2">
      <c r="B26" s="126"/>
      <c r="C26" s="126"/>
    </row>
    <row r="27" spans="1:15" x14ac:dyDescent="0.2">
      <c r="B27" s="126"/>
      <c r="C27" s="126"/>
      <c r="J27" s="12" t="s">
        <v>114</v>
      </c>
    </row>
    <row r="28" spans="1:15" x14ac:dyDescent="0.2">
      <c r="B28" s="119"/>
      <c r="C28" s="119"/>
      <c r="J28" s="123"/>
      <c r="K28" s="123"/>
      <c r="L28" s="123"/>
    </row>
    <row r="29" spans="1:15" x14ac:dyDescent="0.2">
      <c r="B29" s="125"/>
      <c r="C29" s="125"/>
      <c r="J29" s="123"/>
      <c r="K29" s="123"/>
      <c r="L29" s="123"/>
      <c r="O29" s="17"/>
    </row>
    <row r="30" spans="1:15" x14ac:dyDescent="0.2">
      <c r="B30" s="125"/>
      <c r="C30" s="125"/>
    </row>
    <row r="31" spans="1:15" x14ac:dyDescent="0.2">
      <c r="I31" s="7"/>
      <c r="J31" s="124"/>
      <c r="K31" s="124"/>
      <c r="L31" s="124"/>
    </row>
    <row r="32" spans="1:15" x14ac:dyDescent="0.2">
      <c r="B32" s="3" t="s">
        <v>27</v>
      </c>
      <c r="C32" s="9" t="s">
        <v>31</v>
      </c>
      <c r="J32" s="124"/>
      <c r="K32" s="124"/>
      <c r="L32" s="124"/>
      <c r="N32" s="17"/>
    </row>
    <row r="33" spans="1:12" x14ac:dyDescent="0.2">
      <c r="B33" s="3" t="s">
        <v>28</v>
      </c>
      <c r="C33" s="9" t="s">
        <v>32</v>
      </c>
    </row>
    <row r="34" spans="1:12" x14ac:dyDescent="0.2">
      <c r="B34" s="3" t="s">
        <v>29</v>
      </c>
      <c r="C34" s="9" t="s">
        <v>33</v>
      </c>
      <c r="I34" s="1"/>
      <c r="J34" s="11" t="s">
        <v>58</v>
      </c>
      <c r="K34" s="40">
        <v>0.8</v>
      </c>
    </row>
    <row r="35" spans="1:12" x14ac:dyDescent="0.2">
      <c r="B35" s="3" t="s">
        <v>30</v>
      </c>
      <c r="C35" s="9" t="s">
        <v>34</v>
      </c>
      <c r="J35" s="6"/>
      <c r="K35" s="6"/>
    </row>
    <row r="36" spans="1:12" x14ac:dyDescent="0.2">
      <c r="C36" s="13"/>
      <c r="I36" s="19" t="s">
        <v>21</v>
      </c>
      <c r="J36" s="5" t="s">
        <v>67</v>
      </c>
    </row>
    <row r="37" spans="1:12" x14ac:dyDescent="0.2">
      <c r="B37" s="12" t="s">
        <v>41</v>
      </c>
      <c r="J37" s="3" t="s">
        <v>2</v>
      </c>
      <c r="K37" s="9" t="s">
        <v>25</v>
      </c>
    </row>
    <row r="38" spans="1:12" x14ac:dyDescent="0.2">
      <c r="B38" s="123"/>
      <c r="C38" s="123"/>
      <c r="D38" s="123"/>
      <c r="E38" s="123"/>
      <c r="F38" s="123"/>
      <c r="J38" s="3" t="s">
        <v>23</v>
      </c>
      <c r="K38" s="9" t="s">
        <v>26</v>
      </c>
    </row>
    <row r="39" spans="1:12" x14ac:dyDescent="0.2">
      <c r="B39" s="123"/>
      <c r="C39" s="123"/>
      <c r="D39" s="123"/>
      <c r="E39" s="123"/>
      <c r="F39" s="123"/>
      <c r="J39" s="24" t="s">
        <v>24</v>
      </c>
      <c r="K39" s="41">
        <v>0.25</v>
      </c>
      <c r="L39" s="6"/>
    </row>
    <row r="40" spans="1:12" x14ac:dyDescent="0.2">
      <c r="J40" s="126"/>
      <c r="K40" s="126"/>
      <c r="L40" s="126"/>
    </row>
    <row r="41" spans="1:12" x14ac:dyDescent="0.2">
      <c r="B41" s="3" t="s">
        <v>35</v>
      </c>
      <c r="C41" s="9" t="s">
        <v>49</v>
      </c>
      <c r="J41" s="126"/>
      <c r="K41" s="126"/>
      <c r="L41" s="126"/>
    </row>
    <row r="42" spans="1:12" x14ac:dyDescent="0.2">
      <c r="B42" s="3" t="s">
        <v>36</v>
      </c>
      <c r="C42" s="9" t="s">
        <v>38</v>
      </c>
      <c r="J42" s="119"/>
      <c r="K42" s="119"/>
      <c r="L42" s="14"/>
    </row>
    <row r="43" spans="1:12" x14ac:dyDescent="0.2">
      <c r="B43" s="11" t="s">
        <v>37</v>
      </c>
      <c r="C43" s="15" t="s">
        <v>49</v>
      </c>
      <c r="J43" s="125"/>
      <c r="K43" s="125"/>
      <c r="L43" s="125"/>
    </row>
    <row r="44" spans="1:12" x14ac:dyDescent="0.2">
      <c r="J44" s="125"/>
      <c r="K44" s="125"/>
      <c r="L44" s="125"/>
    </row>
    <row r="45" spans="1:12" x14ac:dyDescent="0.2">
      <c r="A45" s="7" t="s">
        <v>39</v>
      </c>
      <c r="B45" s="5" t="s">
        <v>65</v>
      </c>
    </row>
    <row r="46" spans="1:12" x14ac:dyDescent="0.2">
      <c r="A46" s="7"/>
      <c r="B46" s="16" t="s">
        <v>1</v>
      </c>
      <c r="C46" s="9" t="s">
        <v>44</v>
      </c>
      <c r="J46" s="11" t="s">
        <v>59</v>
      </c>
      <c r="K46" s="40">
        <v>0.2</v>
      </c>
    </row>
    <row r="47" spans="1:12" x14ac:dyDescent="0.2">
      <c r="A47" s="7"/>
      <c r="B47" s="16" t="s">
        <v>22</v>
      </c>
      <c r="C47" s="9" t="s">
        <v>45</v>
      </c>
    </row>
    <row r="48" spans="1:12" x14ac:dyDescent="0.2">
      <c r="A48" s="7"/>
      <c r="B48" s="16" t="s">
        <v>42</v>
      </c>
      <c r="C48" s="9" t="s">
        <v>48</v>
      </c>
    </row>
    <row r="49" spans="1:14" x14ac:dyDescent="0.2">
      <c r="A49" s="7"/>
      <c r="B49" s="16" t="s">
        <v>43</v>
      </c>
      <c r="C49" s="9" t="s">
        <v>49</v>
      </c>
      <c r="I49" s="19" t="s">
        <v>39</v>
      </c>
      <c r="J49" s="5" t="s">
        <v>40</v>
      </c>
    </row>
    <row r="50" spans="1:14" x14ac:dyDescent="0.2">
      <c r="A50" s="7"/>
      <c r="B50" s="5"/>
      <c r="J50" s="16" t="s">
        <v>66</v>
      </c>
      <c r="K50" s="43">
        <v>9.5200000000000007E-2</v>
      </c>
    </row>
    <row r="51" spans="1:14" x14ac:dyDescent="0.2">
      <c r="B51" s="127"/>
      <c r="C51" s="127"/>
      <c r="D51" s="127"/>
      <c r="E51" s="127"/>
      <c r="J51" s="16" t="s">
        <v>22</v>
      </c>
      <c r="K51" s="9" t="s">
        <v>45</v>
      </c>
    </row>
    <row r="52" spans="1:14" x14ac:dyDescent="0.2">
      <c r="B52" s="127"/>
      <c r="C52" s="127"/>
      <c r="D52" s="127"/>
      <c r="E52" s="127"/>
      <c r="J52" s="16" t="s">
        <v>60</v>
      </c>
      <c r="K52" s="30">
        <v>0.8</v>
      </c>
    </row>
    <row r="53" spans="1:14" x14ac:dyDescent="0.2">
      <c r="B53" s="127"/>
      <c r="C53" s="127"/>
      <c r="D53" s="127"/>
      <c r="E53" s="127"/>
      <c r="J53" s="16" t="s">
        <v>61</v>
      </c>
      <c r="K53" s="9" t="s">
        <v>62</v>
      </c>
    </row>
    <row r="54" spans="1:14" x14ac:dyDescent="0.2">
      <c r="B54" s="127"/>
      <c r="C54" s="127"/>
      <c r="D54" s="127"/>
      <c r="E54" s="127"/>
    </row>
    <row r="55" spans="1:14" x14ac:dyDescent="0.2">
      <c r="B55" s="127"/>
      <c r="C55" s="127"/>
      <c r="D55" s="127"/>
      <c r="E55" s="127"/>
      <c r="J55" s="123"/>
      <c r="K55" s="123"/>
      <c r="L55" s="123"/>
      <c r="M55" s="123"/>
    </row>
    <row r="56" spans="1:14" x14ac:dyDescent="0.2">
      <c r="B56" s="127"/>
      <c r="C56" s="127"/>
      <c r="D56" s="127"/>
      <c r="E56" s="127"/>
      <c r="J56" s="123"/>
      <c r="K56" s="123"/>
      <c r="L56" s="123"/>
      <c r="M56" s="123"/>
    </row>
    <row r="57" spans="1:14" x14ac:dyDescent="0.2">
      <c r="B57" s="127"/>
      <c r="C57" s="127"/>
      <c r="D57" s="127"/>
      <c r="E57" s="127"/>
      <c r="J57" s="123"/>
      <c r="K57" s="123"/>
      <c r="L57" s="123"/>
      <c r="M57" s="123"/>
    </row>
    <row r="58" spans="1:14" x14ac:dyDescent="0.2">
      <c r="B58" s="127"/>
      <c r="C58" s="127"/>
      <c r="D58" s="127"/>
      <c r="E58" s="127"/>
      <c r="J58" s="123"/>
      <c r="K58" s="123"/>
      <c r="L58" s="123"/>
      <c r="M58" s="123"/>
    </row>
    <row r="59" spans="1:14" x14ac:dyDescent="0.2">
      <c r="B59" s="127"/>
      <c r="C59" s="127"/>
      <c r="D59" s="127"/>
      <c r="E59" s="127"/>
      <c r="J59" s="123"/>
      <c r="K59" s="123"/>
      <c r="L59" s="123"/>
      <c r="M59" s="123"/>
    </row>
    <row r="60" spans="1:14" x14ac:dyDescent="0.2">
      <c r="B60" s="127"/>
      <c r="C60" s="127"/>
      <c r="D60" s="127"/>
      <c r="E60" s="127"/>
      <c r="J60" s="123"/>
      <c r="K60" s="123"/>
      <c r="L60" s="123"/>
      <c r="M60" s="123"/>
    </row>
    <row r="61" spans="1:14" x14ac:dyDescent="0.2">
      <c r="B61" s="127"/>
      <c r="C61" s="127"/>
      <c r="D61" s="127"/>
      <c r="E61" s="127"/>
      <c r="J61" s="123"/>
      <c r="K61" s="123"/>
      <c r="L61" s="123"/>
      <c r="M61" s="123"/>
      <c r="N61" s="14"/>
    </row>
    <row r="62" spans="1:14" x14ac:dyDescent="0.2">
      <c r="B62" s="18"/>
      <c r="C62" s="18"/>
      <c r="D62" s="18"/>
      <c r="E62" s="18"/>
      <c r="K62" s="6"/>
      <c r="L62" s="14"/>
      <c r="M62" s="14"/>
      <c r="N62" s="14"/>
    </row>
    <row r="63" spans="1:14" x14ac:dyDescent="0.2">
      <c r="B63" s="2"/>
      <c r="C63" s="2"/>
      <c r="D63" s="2"/>
      <c r="E63" s="2"/>
      <c r="K63" s="6"/>
      <c r="L63" s="14"/>
      <c r="M63" s="14"/>
      <c r="N63" s="14"/>
    </row>
    <row r="64" spans="1:14" x14ac:dyDescent="0.2">
      <c r="B64" s="2"/>
      <c r="C64" s="2"/>
      <c r="D64" s="2"/>
      <c r="E64" s="2"/>
      <c r="K64" s="6"/>
      <c r="L64" s="14"/>
      <c r="M64" s="14"/>
      <c r="N64" s="14"/>
    </row>
    <row r="65" spans="2:14" x14ac:dyDescent="0.2">
      <c r="B65" s="2"/>
      <c r="C65" s="2"/>
      <c r="D65" s="2"/>
      <c r="E65" s="2"/>
      <c r="K65" s="6"/>
      <c r="L65" s="14"/>
      <c r="M65" s="14"/>
      <c r="N65" s="14"/>
    </row>
    <row r="66" spans="2:14" ht="19" x14ac:dyDescent="0.25">
      <c r="B66" s="23" t="s">
        <v>112</v>
      </c>
    </row>
    <row r="67" spans="2:14" x14ac:dyDescent="0.2">
      <c r="B67" s="8" t="s">
        <v>8</v>
      </c>
      <c r="C67" s="8" t="s">
        <v>9</v>
      </c>
      <c r="D67" s="8" t="s">
        <v>6</v>
      </c>
    </row>
    <row r="68" spans="2:14" x14ac:dyDescent="0.2">
      <c r="B68" s="3" t="s">
        <v>10</v>
      </c>
      <c r="C68" s="95">
        <v>0.5</v>
      </c>
      <c r="D68" s="10" t="s">
        <v>13</v>
      </c>
    </row>
    <row r="69" spans="2:14" x14ac:dyDescent="0.2">
      <c r="B69" s="3" t="s">
        <v>11</v>
      </c>
      <c r="C69" s="95">
        <v>0.3</v>
      </c>
      <c r="D69" s="10" t="s">
        <v>14</v>
      </c>
    </row>
    <row r="70" spans="2:14" x14ac:dyDescent="0.2">
      <c r="B70" s="3" t="s">
        <v>12</v>
      </c>
      <c r="C70" s="95">
        <v>0.2</v>
      </c>
      <c r="D70" s="10" t="s">
        <v>15</v>
      </c>
    </row>
    <row r="71" spans="2:14" x14ac:dyDescent="0.2">
      <c r="B71" s="11" t="s">
        <v>16</v>
      </c>
      <c r="C71" s="96">
        <v>1</v>
      </c>
      <c r="D71" s="8" t="s">
        <v>7</v>
      </c>
    </row>
    <row r="72" spans="2:14" x14ac:dyDescent="0.2">
      <c r="B72" s="5"/>
      <c r="C72" s="7"/>
      <c r="D72" s="7"/>
    </row>
    <row r="73" spans="2:14" x14ac:dyDescent="0.2">
      <c r="B73" s="5"/>
      <c r="C73" s="7"/>
      <c r="D73" s="7"/>
    </row>
    <row r="74" spans="2:14" ht="19" x14ac:dyDescent="0.25">
      <c r="B74" s="23" t="s">
        <v>113</v>
      </c>
    </row>
    <row r="75" spans="2:14" x14ac:dyDescent="0.2">
      <c r="B75" s="60" t="s">
        <v>71</v>
      </c>
      <c r="C75" s="59" t="s">
        <v>4</v>
      </c>
      <c r="D75" s="58" t="s">
        <v>72</v>
      </c>
      <c r="E75" s="58" t="s">
        <v>73</v>
      </c>
      <c r="F75" s="58" t="s">
        <v>74</v>
      </c>
      <c r="G75" s="57" t="s">
        <v>75</v>
      </c>
      <c r="H75" s="57" t="s">
        <v>76</v>
      </c>
      <c r="I75" s="57" t="s">
        <v>77</v>
      </c>
      <c r="J75" s="57" t="s">
        <v>78</v>
      </c>
    </row>
    <row r="76" spans="2:14" x14ac:dyDescent="0.2">
      <c r="B76" s="51" t="s">
        <v>79</v>
      </c>
      <c r="C76" s="52">
        <v>1.19</v>
      </c>
      <c r="D76" s="53">
        <v>13315.1</v>
      </c>
      <c r="E76" s="53">
        <v>32480.400000000001</v>
      </c>
      <c r="F76" s="53">
        <v>418</v>
      </c>
      <c r="G76" s="54">
        <f>D76/E76</f>
        <v>0.40994261154419281</v>
      </c>
      <c r="H76" s="54">
        <f>F76/(D76+E76)</f>
        <v>9.1275343647301589E-3</v>
      </c>
      <c r="I76" s="55">
        <v>19901.3</v>
      </c>
      <c r="J76" s="55">
        <v>3788.5</v>
      </c>
    </row>
    <row r="77" spans="2:14" ht="30" x14ac:dyDescent="0.2">
      <c r="B77" s="51" t="s">
        <v>80</v>
      </c>
      <c r="C77" s="52">
        <v>0.91</v>
      </c>
      <c r="D77" s="53">
        <v>650.79999999999995</v>
      </c>
      <c r="E77" s="53">
        <v>506.3</v>
      </c>
      <c r="F77" s="53">
        <v>4.4800000000000004</v>
      </c>
      <c r="G77" s="54">
        <f t="shared" ref="G77:G107" si="0">D77/E77</f>
        <v>1.2854039107248665</v>
      </c>
      <c r="H77" s="54">
        <f t="shared" ref="H77:H107" si="1">F77/(D77+E77)</f>
        <v>3.8717483363581375E-3</v>
      </c>
      <c r="I77" s="55">
        <v>1541</v>
      </c>
      <c r="J77" s="55">
        <v>85</v>
      </c>
    </row>
    <row r="78" spans="2:14" x14ac:dyDescent="0.2">
      <c r="B78" s="51" t="s">
        <v>81</v>
      </c>
      <c r="C78" s="52">
        <v>1.03</v>
      </c>
      <c r="D78" s="53">
        <v>1344.6</v>
      </c>
      <c r="E78" s="53">
        <v>4020.3</v>
      </c>
      <c r="F78" s="53">
        <v>5.01</v>
      </c>
      <c r="G78" s="54">
        <f t="shared" si="0"/>
        <v>0.3344526527871054</v>
      </c>
      <c r="H78" s="54">
        <f t="shared" si="1"/>
        <v>9.3384778840239341E-4</v>
      </c>
      <c r="I78" s="55">
        <v>5103.5</v>
      </c>
      <c r="J78" s="55">
        <v>379.6</v>
      </c>
    </row>
    <row r="79" spans="2:14" ht="30" x14ac:dyDescent="0.2">
      <c r="B79" s="51" t="s">
        <v>82</v>
      </c>
      <c r="C79" s="52">
        <v>1.04</v>
      </c>
      <c r="D79" s="53">
        <v>7542</v>
      </c>
      <c r="E79" s="53">
        <v>11188</v>
      </c>
      <c r="F79" s="53">
        <v>108</v>
      </c>
      <c r="G79" s="54">
        <f t="shared" si="0"/>
        <v>0.67411512334644264</v>
      </c>
      <c r="H79" s="54">
        <f t="shared" si="1"/>
        <v>5.7661505605979711E-3</v>
      </c>
      <c r="I79" s="55">
        <v>9890</v>
      </c>
      <c r="J79" s="55">
        <v>1441</v>
      </c>
    </row>
    <row r="80" spans="2:14" x14ac:dyDescent="0.2">
      <c r="B80" s="51" t="s">
        <v>83</v>
      </c>
      <c r="C80" s="52">
        <v>1.35</v>
      </c>
      <c r="D80" s="53">
        <v>6342</v>
      </c>
      <c r="E80" s="53">
        <v>28368.6</v>
      </c>
      <c r="F80" s="53">
        <v>694</v>
      </c>
      <c r="G80" s="54">
        <f t="shared" si="0"/>
        <v>0.22355703136566488</v>
      </c>
      <c r="H80" s="54">
        <f t="shared" si="1"/>
        <v>1.9993892355649284E-2</v>
      </c>
      <c r="I80" s="55">
        <v>12749</v>
      </c>
      <c r="J80" s="55">
        <v>2089</v>
      </c>
    </row>
    <row r="81" spans="2:10" ht="30" x14ac:dyDescent="0.2">
      <c r="B81" s="51" t="s">
        <v>84</v>
      </c>
      <c r="C81" s="52">
        <v>0.88</v>
      </c>
      <c r="D81" s="53">
        <v>20649</v>
      </c>
      <c r="E81" s="53">
        <v>35428.800000000003</v>
      </c>
      <c r="F81" s="53">
        <v>1400</v>
      </c>
      <c r="G81" s="54">
        <f t="shared" si="0"/>
        <v>0.58283091721988889</v>
      </c>
      <c r="H81" s="54">
        <f t="shared" si="1"/>
        <v>2.4965316043068734E-2</v>
      </c>
      <c r="I81" s="55">
        <v>26130</v>
      </c>
      <c r="J81" s="55">
        <v>5481</v>
      </c>
    </row>
    <row r="82" spans="2:10" x14ac:dyDescent="0.2">
      <c r="B82" s="51" t="s">
        <v>85</v>
      </c>
      <c r="C82" s="52">
        <v>0.84</v>
      </c>
      <c r="D82" s="53">
        <v>8652.9</v>
      </c>
      <c r="E82" s="53">
        <v>11847.1</v>
      </c>
      <c r="F82" s="53">
        <v>77.7</v>
      </c>
      <c r="G82" s="54">
        <f t="shared" si="0"/>
        <v>0.73038127474234193</v>
      </c>
      <c r="H82" s="54">
        <f t="shared" si="1"/>
        <v>3.7902439024390245E-3</v>
      </c>
      <c r="I82" s="55">
        <v>11928.8</v>
      </c>
      <c r="J82" s="55">
        <v>1886.9</v>
      </c>
    </row>
    <row r="83" spans="2:10" x14ac:dyDescent="0.2">
      <c r="B83" s="51" t="s">
        <v>86</v>
      </c>
      <c r="C83" s="52">
        <v>0.79</v>
      </c>
      <c r="D83" s="53">
        <v>5102.2</v>
      </c>
      <c r="E83" s="53">
        <v>31350.799999999999</v>
      </c>
      <c r="F83" s="53">
        <v>730.7</v>
      </c>
      <c r="G83" s="54">
        <f t="shared" si="0"/>
        <v>0.1627454482820215</v>
      </c>
      <c r="H83" s="54">
        <f t="shared" si="1"/>
        <v>2.0044989438454997E-2</v>
      </c>
      <c r="I83" s="55">
        <v>11202.3</v>
      </c>
      <c r="J83" s="55">
        <v>3061</v>
      </c>
    </row>
    <row r="84" spans="2:10" ht="30" x14ac:dyDescent="0.2">
      <c r="B84" s="51" t="s">
        <v>87</v>
      </c>
      <c r="C84" s="52">
        <v>1.08</v>
      </c>
      <c r="D84" s="53">
        <v>55.6</v>
      </c>
      <c r="E84" s="53">
        <v>802.3</v>
      </c>
      <c r="F84" s="53">
        <v>0.48399999999999999</v>
      </c>
      <c r="G84" s="54">
        <f t="shared" si="0"/>
        <v>6.9300760314096974E-2</v>
      </c>
      <c r="H84" s="54">
        <f t="shared" si="1"/>
        <v>5.6416831798577918E-4</v>
      </c>
      <c r="I84" s="55">
        <v>1118.7</v>
      </c>
      <c r="J84" s="55">
        <v>67.400000000000006</v>
      </c>
    </row>
    <row r="85" spans="2:10" ht="30" x14ac:dyDescent="0.2">
      <c r="B85" s="51" t="s">
        <v>88</v>
      </c>
      <c r="C85" s="52">
        <v>1.08</v>
      </c>
      <c r="D85" s="53">
        <v>18544</v>
      </c>
      <c r="E85" s="53">
        <v>75606.5</v>
      </c>
      <c r="F85" s="53">
        <v>1351</v>
      </c>
      <c r="G85" s="54">
        <f t="shared" si="0"/>
        <v>0.24526991726901787</v>
      </c>
      <c r="H85" s="54">
        <f t="shared" si="1"/>
        <v>1.4349366174369759E-2</v>
      </c>
      <c r="I85" s="55">
        <v>36441</v>
      </c>
      <c r="J85" s="55">
        <v>6442</v>
      </c>
    </row>
    <row r="86" spans="2:10" x14ac:dyDescent="0.2">
      <c r="B86" s="51" t="s">
        <v>89</v>
      </c>
      <c r="C86" s="52">
        <v>0.75</v>
      </c>
      <c r="D86" s="53">
        <v>15.9</v>
      </c>
      <c r="E86" s="53">
        <v>2096</v>
      </c>
      <c r="F86" s="53">
        <v>171.4</v>
      </c>
      <c r="G86" s="54">
        <f t="shared" si="0"/>
        <v>7.58587786259542E-3</v>
      </c>
      <c r="H86" s="54">
        <f t="shared" si="1"/>
        <v>8.1159145792887924E-2</v>
      </c>
      <c r="I86" s="55">
        <v>727.1</v>
      </c>
      <c r="J86" s="55">
        <v>112.2</v>
      </c>
    </row>
    <row r="87" spans="2:10" x14ac:dyDescent="0.2">
      <c r="B87" s="51" t="s">
        <v>90</v>
      </c>
      <c r="C87" s="52">
        <v>0.91</v>
      </c>
      <c r="D87" s="53">
        <v>10481</v>
      </c>
      <c r="E87" s="53">
        <v>20637.900000000001</v>
      </c>
      <c r="F87" s="53">
        <v>1727</v>
      </c>
      <c r="G87" s="54">
        <f t="shared" si="0"/>
        <v>0.50785205859123261</v>
      </c>
      <c r="H87" s="54">
        <f t="shared" si="1"/>
        <v>5.5496820260356246E-2</v>
      </c>
      <c r="I87" s="55">
        <v>53613</v>
      </c>
      <c r="J87" s="55">
        <v>2037</v>
      </c>
    </row>
    <row r="88" spans="2:10" ht="30" x14ac:dyDescent="0.2">
      <c r="B88" s="51" t="s">
        <v>91</v>
      </c>
      <c r="C88" s="52">
        <v>0.87</v>
      </c>
      <c r="D88" s="53">
        <v>4602.1000000000004</v>
      </c>
      <c r="E88" s="53">
        <v>21007.200000000001</v>
      </c>
      <c r="F88" s="53">
        <v>186.1</v>
      </c>
      <c r="G88" s="54">
        <f t="shared" si="0"/>
        <v>0.21907250847328535</v>
      </c>
      <c r="H88" s="54">
        <f t="shared" si="1"/>
        <v>7.266891324635971E-3</v>
      </c>
      <c r="I88" s="55">
        <v>6723.7</v>
      </c>
      <c r="J88" s="55">
        <v>1078.2</v>
      </c>
    </row>
    <row r="89" spans="2:10" x14ac:dyDescent="0.2">
      <c r="B89" s="51" t="s">
        <v>92</v>
      </c>
      <c r="C89" s="52">
        <v>1.17</v>
      </c>
      <c r="D89" s="53">
        <v>162.5</v>
      </c>
      <c r="E89" s="53">
        <v>871.8</v>
      </c>
      <c r="F89" s="53">
        <v>15</v>
      </c>
      <c r="G89" s="54">
        <f t="shared" si="0"/>
        <v>0.1863959623766919</v>
      </c>
      <c r="H89" s="54">
        <f t="shared" si="1"/>
        <v>1.4502562119307744E-2</v>
      </c>
      <c r="I89" s="55">
        <v>1828.6</v>
      </c>
      <c r="J89" s="55">
        <v>127.5</v>
      </c>
    </row>
    <row r="90" spans="2:10" x14ac:dyDescent="0.2">
      <c r="B90" s="51" t="s">
        <v>93</v>
      </c>
      <c r="C90" s="52">
        <v>0.83</v>
      </c>
      <c r="D90" s="53">
        <v>2117.5</v>
      </c>
      <c r="E90" s="53">
        <v>459.9</v>
      </c>
      <c r="F90" s="53">
        <v>41.1</v>
      </c>
      <c r="G90" s="54">
        <f t="shared" si="0"/>
        <v>4.6042617960426178</v>
      </c>
      <c r="H90" s="54">
        <f t="shared" si="1"/>
        <v>1.5946302475362769E-2</v>
      </c>
      <c r="I90" s="55">
        <v>1959</v>
      </c>
      <c r="J90" s="55">
        <v>219.2</v>
      </c>
    </row>
    <row r="91" spans="2:10" ht="30" x14ac:dyDescent="0.2">
      <c r="B91" s="51" t="s">
        <v>94</v>
      </c>
      <c r="C91" s="52">
        <v>0.95</v>
      </c>
      <c r="D91" s="53">
        <v>835.7</v>
      </c>
      <c r="E91" s="53">
        <v>423</v>
      </c>
      <c r="F91" s="53">
        <v>61.8</v>
      </c>
      <c r="G91" s="54">
        <f t="shared" si="0"/>
        <v>1.9756501182033097</v>
      </c>
      <c r="H91" s="54">
        <f t="shared" si="1"/>
        <v>4.9098275999046634E-2</v>
      </c>
      <c r="I91" s="55">
        <v>1705.9</v>
      </c>
      <c r="J91" s="55">
        <v>91.2</v>
      </c>
    </row>
    <row r="92" spans="2:10" ht="30" x14ac:dyDescent="0.2">
      <c r="B92" s="51" t="s">
        <v>95</v>
      </c>
      <c r="C92" s="52">
        <v>0.64</v>
      </c>
      <c r="D92" s="53">
        <v>3012.1</v>
      </c>
      <c r="E92" s="53">
        <v>16031.2</v>
      </c>
      <c r="F92" s="53">
        <v>766.6</v>
      </c>
      <c r="G92" s="54">
        <f t="shared" si="0"/>
        <v>0.18788986476371075</v>
      </c>
      <c r="H92" s="54">
        <f t="shared" si="1"/>
        <v>4.025562796364076E-2</v>
      </c>
      <c r="I92" s="55">
        <v>11920.8</v>
      </c>
      <c r="J92" s="55">
        <v>1098.5999999999999</v>
      </c>
    </row>
    <row r="93" spans="2:10" ht="30" x14ac:dyDescent="0.2">
      <c r="B93" s="51" t="s">
        <v>96</v>
      </c>
      <c r="C93" s="52">
        <v>1.35</v>
      </c>
      <c r="D93" s="53">
        <v>437.3</v>
      </c>
      <c r="E93" s="53">
        <v>3724.1</v>
      </c>
      <c r="F93" s="53">
        <v>132.5</v>
      </c>
      <c r="G93" s="54">
        <f t="shared" si="0"/>
        <v>0.11742434413683844</v>
      </c>
      <c r="H93" s="54">
        <f t="shared" si="1"/>
        <v>3.1840246071033793E-2</v>
      </c>
      <c r="I93" s="55">
        <v>1363.9</v>
      </c>
      <c r="J93" s="55">
        <v>237.7</v>
      </c>
    </row>
    <row r="94" spans="2:10" ht="30" x14ac:dyDescent="0.2">
      <c r="B94" s="51" t="s">
        <v>97</v>
      </c>
      <c r="C94" s="52">
        <v>0.75</v>
      </c>
      <c r="D94" s="53">
        <v>8559.1</v>
      </c>
      <c r="E94" s="53">
        <v>10990.6</v>
      </c>
      <c r="F94" s="53">
        <v>62</v>
      </c>
      <c r="G94" s="54">
        <f t="shared" si="0"/>
        <v>0.77876549051007227</v>
      </c>
      <c r="H94" s="54">
        <f t="shared" si="1"/>
        <v>3.1714041647697916E-3</v>
      </c>
      <c r="I94" s="55">
        <v>8831.2000000000007</v>
      </c>
      <c r="J94" s="55">
        <v>1637.2</v>
      </c>
    </row>
    <row r="95" spans="2:10" x14ac:dyDescent="0.2">
      <c r="B95" s="51" t="s">
        <v>98</v>
      </c>
      <c r="C95" s="52">
        <v>0.8</v>
      </c>
      <c r="D95" s="53">
        <v>7068.6</v>
      </c>
      <c r="E95" s="53">
        <v>6548.2</v>
      </c>
      <c r="F95" s="53">
        <v>788.4</v>
      </c>
      <c r="G95" s="54">
        <f t="shared" si="0"/>
        <v>1.0794722213738128</v>
      </c>
      <c r="H95" s="54">
        <f t="shared" si="1"/>
        <v>5.7899065859820222E-2</v>
      </c>
      <c r="I95" s="55">
        <v>7931.5</v>
      </c>
      <c r="J95" s="55">
        <v>813.1</v>
      </c>
    </row>
    <row r="96" spans="2:10" x14ac:dyDescent="0.2">
      <c r="B96" s="51" t="s">
        <v>99</v>
      </c>
      <c r="C96" s="52">
        <v>0.74</v>
      </c>
      <c r="D96" s="53">
        <v>987.3</v>
      </c>
      <c r="E96" s="53">
        <v>1103.5</v>
      </c>
      <c r="F96" s="53">
        <v>52</v>
      </c>
      <c r="G96" s="54">
        <f t="shared" si="0"/>
        <v>0.89469868599909375</v>
      </c>
      <c r="H96" s="54">
        <f t="shared" si="1"/>
        <v>2.4870862827625788E-2</v>
      </c>
      <c r="I96" s="55">
        <v>1420.3</v>
      </c>
      <c r="J96" s="55">
        <v>56.7</v>
      </c>
    </row>
    <row r="97" spans="2:10" ht="30" x14ac:dyDescent="0.2">
      <c r="B97" s="51" t="s">
        <v>100</v>
      </c>
      <c r="C97" s="52">
        <v>0.78</v>
      </c>
      <c r="D97" s="53">
        <v>57.7</v>
      </c>
      <c r="E97" s="53">
        <v>5203.1000000000004</v>
      </c>
      <c r="F97" s="53">
        <v>163.4</v>
      </c>
      <c r="G97" s="54">
        <f t="shared" si="0"/>
        <v>1.1089542772577886E-2</v>
      </c>
      <c r="H97" s="54">
        <f t="shared" si="1"/>
        <v>3.1059914841849147E-2</v>
      </c>
      <c r="I97" s="55">
        <v>1900.1</v>
      </c>
      <c r="J97" s="55">
        <v>227.5</v>
      </c>
    </row>
    <row r="98" spans="2:10" x14ac:dyDescent="0.2">
      <c r="B98" s="51" t="s">
        <v>101</v>
      </c>
      <c r="C98" s="52">
        <v>0.82</v>
      </c>
      <c r="D98" s="53">
        <v>1601.6</v>
      </c>
      <c r="E98" s="53">
        <v>1736.2</v>
      </c>
      <c r="F98" s="53">
        <v>320.3</v>
      </c>
      <c r="G98" s="54">
        <f t="shared" si="0"/>
        <v>0.9224743693122911</v>
      </c>
      <c r="H98" s="54">
        <f t="shared" si="1"/>
        <v>9.5961411708310865E-2</v>
      </c>
      <c r="I98" s="55">
        <v>3359.1</v>
      </c>
      <c r="J98" s="55">
        <v>164.4</v>
      </c>
    </row>
    <row r="99" spans="2:10" ht="30" x14ac:dyDescent="0.2">
      <c r="B99" s="51" t="s">
        <v>102</v>
      </c>
      <c r="C99" s="52">
        <v>1.02</v>
      </c>
      <c r="D99" s="53">
        <v>253.6</v>
      </c>
      <c r="E99" s="53">
        <v>329.2</v>
      </c>
      <c r="F99" s="53">
        <v>7.3</v>
      </c>
      <c r="G99" s="54">
        <f t="shared" si="0"/>
        <v>0.77035236938031593</v>
      </c>
      <c r="H99" s="54">
        <f t="shared" si="1"/>
        <v>1.2525737817433082E-2</v>
      </c>
      <c r="I99" s="55">
        <v>961.3</v>
      </c>
      <c r="J99" s="55">
        <v>72.8</v>
      </c>
    </row>
    <row r="100" spans="2:10" x14ac:dyDescent="0.2">
      <c r="B100" s="51" t="s">
        <v>103</v>
      </c>
      <c r="C100" s="52">
        <v>0.73</v>
      </c>
      <c r="D100" s="53">
        <v>285.10000000000002</v>
      </c>
      <c r="E100" s="53">
        <v>498.2</v>
      </c>
      <c r="F100" s="53">
        <v>14.7</v>
      </c>
      <c r="G100" s="54">
        <f t="shared" si="0"/>
        <v>0.57226013649136898</v>
      </c>
      <c r="H100" s="54">
        <f t="shared" si="1"/>
        <v>1.876675603217158E-2</v>
      </c>
      <c r="I100" s="55">
        <v>878.5</v>
      </c>
      <c r="J100" s="55">
        <v>68.099999999999994</v>
      </c>
    </row>
    <row r="101" spans="2:10" ht="30" x14ac:dyDescent="0.2">
      <c r="B101" s="51" t="s">
        <v>104</v>
      </c>
      <c r="C101" s="52">
        <v>0.44</v>
      </c>
      <c r="D101" s="53">
        <v>160.5</v>
      </c>
      <c r="E101" s="53">
        <v>2384.4</v>
      </c>
      <c r="F101" s="53">
        <v>73.400000000000006</v>
      </c>
      <c r="G101" s="54">
        <f t="shared" si="0"/>
        <v>6.7312531454453942E-2</v>
      </c>
      <c r="H101" s="54">
        <f t="shared" si="1"/>
        <v>2.8841997720932062E-2</v>
      </c>
      <c r="I101" s="55">
        <v>1589</v>
      </c>
      <c r="J101" s="55">
        <v>119.4</v>
      </c>
    </row>
    <row r="102" spans="2:10" x14ac:dyDescent="0.2">
      <c r="B102" s="51" t="s">
        <v>105</v>
      </c>
      <c r="C102" s="52">
        <v>0.99</v>
      </c>
      <c r="D102" s="53">
        <v>2943.6</v>
      </c>
      <c r="E102" s="53">
        <v>7026.8</v>
      </c>
      <c r="F102" s="53">
        <v>344.1</v>
      </c>
      <c r="G102" s="54">
        <f t="shared" si="0"/>
        <v>0.41891045710707575</v>
      </c>
      <c r="H102" s="54">
        <f t="shared" si="1"/>
        <v>3.4512155981705851E-2</v>
      </c>
      <c r="I102" s="55">
        <v>13102.9</v>
      </c>
      <c r="J102" s="55">
        <v>658.9</v>
      </c>
    </row>
    <row r="103" spans="2:10" ht="30" x14ac:dyDescent="0.2">
      <c r="B103" s="51" t="s">
        <v>106</v>
      </c>
      <c r="C103" s="52">
        <v>1.1200000000000001</v>
      </c>
      <c r="D103" s="53">
        <v>1994.7</v>
      </c>
      <c r="E103" s="53">
        <v>2332.4</v>
      </c>
      <c r="F103" s="53">
        <v>20.9</v>
      </c>
      <c r="G103" s="54">
        <f t="shared" si="0"/>
        <v>0.85521351397701939</v>
      </c>
      <c r="H103" s="54">
        <f t="shared" si="1"/>
        <v>4.8300247278777924E-3</v>
      </c>
      <c r="I103" s="55">
        <v>4732.5</v>
      </c>
      <c r="J103" s="55">
        <v>222</v>
      </c>
    </row>
    <row r="104" spans="2:10" ht="30" x14ac:dyDescent="0.2">
      <c r="B104" s="51" t="s">
        <v>107</v>
      </c>
      <c r="C104" s="52">
        <v>0.89</v>
      </c>
      <c r="D104" s="53">
        <v>3968.1</v>
      </c>
      <c r="E104" s="53">
        <v>8403</v>
      </c>
      <c r="F104" s="53">
        <v>71.400000000000006</v>
      </c>
      <c r="G104" s="54">
        <f t="shared" si="0"/>
        <v>0.47222420564084255</v>
      </c>
      <c r="H104" s="54">
        <f t="shared" si="1"/>
        <v>5.7715158716686475E-3</v>
      </c>
      <c r="I104" s="55">
        <v>6325.2</v>
      </c>
      <c r="J104" s="55">
        <v>831.7</v>
      </c>
    </row>
    <row r="105" spans="2:10" ht="30" x14ac:dyDescent="0.2">
      <c r="B105" s="51" t="s">
        <v>108</v>
      </c>
      <c r="C105" s="52">
        <v>0.67</v>
      </c>
      <c r="D105" s="53">
        <v>25.9</v>
      </c>
      <c r="E105" s="53">
        <v>394</v>
      </c>
      <c r="F105" s="53">
        <v>57</v>
      </c>
      <c r="G105" s="54">
        <f t="shared" si="0"/>
        <v>6.5736040609137056E-2</v>
      </c>
      <c r="H105" s="54">
        <f t="shared" si="1"/>
        <v>0.13574660633484165</v>
      </c>
      <c r="I105" s="55">
        <v>661.5</v>
      </c>
      <c r="J105" s="55">
        <v>16.7</v>
      </c>
    </row>
    <row r="106" spans="2:10" x14ac:dyDescent="0.2">
      <c r="B106" s="51" t="s">
        <v>109</v>
      </c>
      <c r="C106" s="52">
        <v>1</v>
      </c>
      <c r="D106" s="53">
        <v>396.7</v>
      </c>
      <c r="E106" s="53">
        <v>880.5</v>
      </c>
      <c r="F106" s="53">
        <v>0.30599999999999999</v>
      </c>
      <c r="G106" s="54">
        <f t="shared" si="0"/>
        <v>0.45053946621237934</v>
      </c>
      <c r="H106" s="54">
        <f t="shared" si="1"/>
        <v>2.395865956780457E-4</v>
      </c>
      <c r="I106" s="55">
        <v>711.7</v>
      </c>
      <c r="J106" s="55">
        <v>35.4</v>
      </c>
    </row>
    <row r="107" spans="2:10" ht="30" x14ac:dyDescent="0.2">
      <c r="B107" s="51" t="s">
        <v>110</v>
      </c>
      <c r="C107" s="52">
        <v>1.03</v>
      </c>
      <c r="D107" s="53">
        <v>13.1</v>
      </c>
      <c r="E107" s="53">
        <v>269.10000000000002</v>
      </c>
      <c r="F107" s="53">
        <v>11</v>
      </c>
      <c r="G107" s="54">
        <f t="shared" si="0"/>
        <v>4.8680787811222585E-2</v>
      </c>
      <c r="H107" s="54">
        <f t="shared" si="1"/>
        <v>3.8979447200566966E-2</v>
      </c>
      <c r="I107" s="55">
        <v>116.5</v>
      </c>
      <c r="J107" s="55">
        <v>4.91</v>
      </c>
    </row>
    <row r="108" spans="2:10" x14ac:dyDescent="0.2">
      <c r="B108" s="8" t="s">
        <v>111</v>
      </c>
      <c r="C108" s="8">
        <f>MEDIAN(C76:C107)</f>
        <v>0.9</v>
      </c>
      <c r="D108" s="20"/>
      <c r="E108" s="20"/>
      <c r="F108" s="20"/>
      <c r="G108" s="21">
        <f>MEDIAN(G76:G107)</f>
        <v>0.43472496165972752</v>
      </c>
      <c r="H108" s="22">
        <f>MEDIAN(H76:H107)</f>
        <v>1.9380324193910434E-2</v>
      </c>
      <c r="I108" s="20"/>
      <c r="J108" s="20"/>
    </row>
  </sheetData>
  <mergeCells count="17">
    <mergeCell ref="J31:L32"/>
    <mergeCell ref="B38:F39"/>
    <mergeCell ref="B15:D17"/>
    <mergeCell ref="B26:C27"/>
    <mergeCell ref="B51:E61"/>
    <mergeCell ref="J40:L41"/>
    <mergeCell ref="J55:M61"/>
    <mergeCell ref="J42:K42"/>
    <mergeCell ref="J43:L44"/>
    <mergeCell ref="B29:C30"/>
    <mergeCell ref="B28:C28"/>
    <mergeCell ref="J28:L29"/>
    <mergeCell ref="B3:L3"/>
    <mergeCell ref="B1:L2"/>
    <mergeCell ref="C7:D7"/>
    <mergeCell ref="J20:L21"/>
    <mergeCell ref="J24:L2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008FA-76EF-6A45-93F8-6DE8D41C1D52}">
  <dimension ref="A1:AP228"/>
  <sheetViews>
    <sheetView tabSelected="1" topLeftCell="A93" zoomScale="86" zoomScaleNormal="131" workbookViewId="0">
      <selection activeCell="E139" sqref="E139"/>
    </sheetView>
  </sheetViews>
  <sheetFormatPr baseColWidth="10" defaultRowHeight="16" x14ac:dyDescent="0.2"/>
  <cols>
    <col min="1" max="1" width="5.33203125" style="7" customWidth="1"/>
    <col min="2" max="2" width="37.83203125" style="1" customWidth="1"/>
    <col min="3" max="3" width="11.6640625" style="1" customWidth="1"/>
    <col min="4" max="4" width="11.5" style="1" customWidth="1"/>
    <col min="5" max="5" width="11.33203125" style="1" customWidth="1"/>
    <col min="6" max="18" width="10.83203125" style="1"/>
    <col min="19" max="19" width="15.5" style="1" customWidth="1"/>
    <col min="20" max="16384" width="10.83203125" style="1"/>
  </cols>
  <sheetData>
    <row r="1" spans="1:41" s="5" customFormat="1" ht="16" customHeight="1" thickBot="1" x14ac:dyDescent="0.25"/>
    <row r="2" spans="1:41" s="5" customFormat="1" ht="16" customHeight="1" x14ac:dyDescent="0.2">
      <c r="A2" s="131"/>
      <c r="B2" s="129"/>
      <c r="C2" s="129"/>
      <c r="D2" s="130"/>
      <c r="E2" s="133"/>
      <c r="F2" s="129"/>
      <c r="G2" s="129"/>
      <c r="H2" s="129"/>
      <c r="I2" s="140"/>
    </row>
    <row r="3" spans="1:41" s="5" customFormat="1" ht="16" customHeight="1" x14ac:dyDescent="0.2">
      <c r="A3" s="132"/>
      <c r="B3" s="142" t="s">
        <v>208</v>
      </c>
      <c r="C3" s="142"/>
      <c r="D3" s="145"/>
      <c r="E3" s="134"/>
      <c r="F3" s="142" t="s">
        <v>212</v>
      </c>
      <c r="G3" s="142"/>
      <c r="H3" s="142"/>
      <c r="I3" s="137"/>
    </row>
    <row r="4" spans="1:41" s="5" customFormat="1" ht="16" customHeight="1" x14ac:dyDescent="0.2">
      <c r="A4" s="132"/>
      <c r="B4" s="16" t="s">
        <v>188</v>
      </c>
      <c r="C4" s="65">
        <v>0.03</v>
      </c>
      <c r="D4" s="145"/>
      <c r="E4" s="134"/>
      <c r="F4" s="144" t="s">
        <v>209</v>
      </c>
      <c r="G4" s="144"/>
      <c r="H4" s="64">
        <v>50</v>
      </c>
      <c r="I4" s="137"/>
    </row>
    <row r="5" spans="1:41" s="5" customFormat="1" ht="16" customHeight="1" x14ac:dyDescent="0.2">
      <c r="A5" s="132"/>
      <c r="B5" s="16" t="s">
        <v>189</v>
      </c>
      <c r="C5" s="65">
        <v>0.6</v>
      </c>
      <c r="D5" s="145"/>
      <c r="E5" s="134"/>
      <c r="F5" s="144" t="s">
        <v>210</v>
      </c>
      <c r="G5" s="144"/>
      <c r="H5" s="92">
        <v>0.03</v>
      </c>
      <c r="I5" s="137"/>
    </row>
    <row r="6" spans="1:41" s="5" customFormat="1" ht="16" customHeight="1" x14ac:dyDescent="0.2">
      <c r="A6" s="132"/>
      <c r="B6" s="16" t="s">
        <v>194</v>
      </c>
      <c r="C6" s="66">
        <v>200</v>
      </c>
      <c r="D6" s="145"/>
      <c r="E6" s="134"/>
      <c r="F6" s="144" t="s">
        <v>211</v>
      </c>
      <c r="G6" s="144"/>
      <c r="H6" s="93">
        <v>0.1701</v>
      </c>
      <c r="I6" s="137"/>
    </row>
    <row r="7" spans="1:41" s="5" customFormat="1" ht="16" customHeight="1" x14ac:dyDescent="0.2">
      <c r="A7" s="132"/>
      <c r="B7" s="16" t="s">
        <v>193</v>
      </c>
      <c r="C7" s="66">
        <v>50</v>
      </c>
      <c r="D7" s="145"/>
      <c r="E7" s="134"/>
      <c r="F7" s="136"/>
      <c r="G7" s="136"/>
      <c r="H7" s="136"/>
      <c r="I7" s="137"/>
    </row>
    <row r="8" spans="1:41" s="5" customFormat="1" ht="16" customHeight="1" x14ac:dyDescent="0.2">
      <c r="A8" s="132"/>
      <c r="B8" s="16" t="s">
        <v>190</v>
      </c>
      <c r="C8" s="65">
        <v>0.05</v>
      </c>
      <c r="D8" s="145"/>
      <c r="E8" s="134"/>
      <c r="F8" s="136"/>
      <c r="G8" s="136"/>
      <c r="H8" s="136"/>
      <c r="I8" s="137"/>
    </row>
    <row r="9" spans="1:41" s="5" customFormat="1" ht="16" customHeight="1" x14ac:dyDescent="0.2">
      <c r="A9" s="132"/>
      <c r="B9" s="16" t="s">
        <v>191</v>
      </c>
      <c r="C9" s="65">
        <v>0.05</v>
      </c>
      <c r="D9" s="145"/>
      <c r="E9" s="134"/>
      <c r="F9" s="136"/>
      <c r="G9" s="136"/>
      <c r="H9" s="136"/>
      <c r="I9" s="137"/>
    </row>
    <row r="10" spans="1:41" s="5" customFormat="1" ht="16" customHeight="1" x14ac:dyDescent="0.2">
      <c r="A10" s="132"/>
      <c r="B10" s="16" t="s">
        <v>192</v>
      </c>
      <c r="C10" s="65">
        <v>0.1</v>
      </c>
      <c r="D10" s="145"/>
      <c r="E10" s="134"/>
      <c r="F10" s="136"/>
      <c r="G10" s="136"/>
      <c r="H10" s="136"/>
      <c r="I10" s="137"/>
    </row>
    <row r="11" spans="1:41" s="63" customFormat="1" ht="16" customHeight="1" x14ac:dyDescent="0.2">
      <c r="A11" s="132"/>
      <c r="B11" s="16" t="s">
        <v>195</v>
      </c>
      <c r="C11" s="64">
        <v>200</v>
      </c>
      <c r="D11" s="145"/>
      <c r="E11" s="134"/>
      <c r="F11" s="136"/>
      <c r="G11" s="136"/>
      <c r="H11" s="136"/>
      <c r="I11" s="137"/>
    </row>
    <row r="12" spans="1:41" s="63" customFormat="1" ht="20" customHeight="1" thickBot="1" x14ac:dyDescent="0.25">
      <c r="A12" s="147"/>
      <c r="B12" s="148"/>
      <c r="C12" s="148"/>
      <c r="D12" s="146"/>
      <c r="E12" s="135"/>
      <c r="F12" s="138"/>
      <c r="G12" s="138"/>
      <c r="H12" s="138"/>
      <c r="I12" s="139"/>
    </row>
    <row r="13" spans="1:41" s="63" customFormat="1" ht="20" customHeight="1" x14ac:dyDescent="0.2">
      <c r="A13" s="117"/>
      <c r="B13" s="117"/>
      <c r="C13" s="117"/>
      <c r="D13" s="7"/>
      <c r="E13" s="7"/>
      <c r="F13" s="7"/>
      <c r="G13" s="7"/>
      <c r="H13" s="7"/>
      <c r="I13" s="7"/>
    </row>
    <row r="14" spans="1:41" s="63" customFormat="1" ht="33" customHeight="1" x14ac:dyDescent="0.3">
      <c r="A14" s="143" t="s">
        <v>163</v>
      </c>
      <c r="B14" s="143"/>
      <c r="C14" s="143"/>
      <c r="D14" s="143"/>
      <c r="E14" s="143"/>
      <c r="F14" s="143"/>
      <c r="G14" s="143"/>
      <c r="H14" s="143"/>
      <c r="I14" s="143"/>
      <c r="J14" s="143"/>
      <c r="K14" s="143"/>
      <c r="L14" s="143"/>
      <c r="M14" s="143"/>
      <c r="N14" s="143"/>
      <c r="O14" s="143"/>
      <c r="P14" s="143"/>
      <c r="Q14" s="143"/>
      <c r="R14" s="143"/>
    </row>
    <row r="15" spans="1:41" s="5" customFormat="1" ht="16" customHeight="1" x14ac:dyDescent="0.2">
      <c r="V15" s="63"/>
      <c r="W15" s="63"/>
      <c r="X15" s="63"/>
      <c r="Y15" s="63"/>
      <c r="Z15" s="63"/>
      <c r="AA15" s="63"/>
      <c r="AB15" s="63"/>
      <c r="AC15" s="63"/>
      <c r="AD15" s="63"/>
      <c r="AE15" s="63"/>
      <c r="AF15" s="63"/>
      <c r="AG15" s="63"/>
      <c r="AH15" s="63"/>
      <c r="AI15" s="63"/>
      <c r="AJ15" s="63"/>
      <c r="AK15" s="63"/>
      <c r="AL15" s="63"/>
      <c r="AM15" s="63"/>
      <c r="AN15" s="63"/>
      <c r="AO15" s="63"/>
    </row>
    <row r="16" spans="1:41" x14ac:dyDescent="0.2">
      <c r="A16" s="7" t="s">
        <v>0</v>
      </c>
      <c r="B16" s="5" t="s">
        <v>77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V16" s="63"/>
      <c r="W16" s="63"/>
      <c r="X16" s="63"/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/>
      <c r="AJ16" s="63"/>
      <c r="AK16" s="63"/>
      <c r="AL16" s="63"/>
      <c r="AM16" s="63"/>
      <c r="AN16" s="63"/>
      <c r="AO16" s="63"/>
    </row>
    <row r="17" spans="1:41" x14ac:dyDescent="0.2">
      <c r="B17" s="62" t="s">
        <v>216</v>
      </c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63"/>
      <c r="AK17" s="63"/>
      <c r="AL17" s="63"/>
      <c r="AM17" s="63"/>
      <c r="AN17" s="63"/>
      <c r="AO17" s="63"/>
    </row>
    <row r="18" spans="1:41" x14ac:dyDescent="0.2">
      <c r="B18" s="10" t="s">
        <v>115</v>
      </c>
      <c r="C18" s="31">
        <v>0</v>
      </c>
      <c r="D18" s="31">
        <v>1</v>
      </c>
      <c r="E18" s="31">
        <v>2</v>
      </c>
      <c r="F18" s="31">
        <v>3</v>
      </c>
      <c r="G18" s="31">
        <v>4</v>
      </c>
      <c r="H18" s="31">
        <v>5</v>
      </c>
      <c r="I18" s="31">
        <v>6</v>
      </c>
      <c r="J18" s="31">
        <v>7</v>
      </c>
      <c r="K18" s="31">
        <v>8</v>
      </c>
      <c r="L18" s="31">
        <v>9</v>
      </c>
      <c r="M18" s="31">
        <v>10</v>
      </c>
      <c r="N18" s="31">
        <v>11</v>
      </c>
      <c r="O18" s="31">
        <v>12</v>
      </c>
      <c r="P18" s="31">
        <v>13</v>
      </c>
      <c r="Q18" s="31">
        <v>14</v>
      </c>
      <c r="R18" s="31">
        <v>15</v>
      </c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63"/>
      <c r="AK18" s="63"/>
      <c r="AL18" s="63"/>
      <c r="AM18" s="63"/>
      <c r="AN18" s="63"/>
      <c r="AO18" s="63"/>
    </row>
    <row r="19" spans="1:41" x14ac:dyDescent="0.2">
      <c r="B19" s="3" t="s">
        <v>116</v>
      </c>
      <c r="C19" s="33" t="s">
        <v>38</v>
      </c>
      <c r="D19" s="33" t="s">
        <v>38</v>
      </c>
      <c r="E19" s="33" t="s">
        <v>38</v>
      </c>
      <c r="F19" s="33">
        <v>1</v>
      </c>
      <c r="G19" s="33">
        <v>2</v>
      </c>
      <c r="H19" s="33">
        <v>3</v>
      </c>
      <c r="I19" s="33">
        <v>4</v>
      </c>
      <c r="J19" s="33">
        <v>5</v>
      </c>
      <c r="K19" s="33">
        <v>6</v>
      </c>
      <c r="L19" s="33">
        <v>7</v>
      </c>
      <c r="M19" s="33">
        <v>8</v>
      </c>
      <c r="N19" s="33">
        <v>9</v>
      </c>
      <c r="O19" s="33">
        <v>10</v>
      </c>
      <c r="P19" s="33">
        <v>11</v>
      </c>
      <c r="Q19" s="33">
        <v>11</v>
      </c>
      <c r="R19" s="33">
        <v>11</v>
      </c>
      <c r="V19" s="63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63"/>
      <c r="AK19" s="63"/>
      <c r="AL19" s="63"/>
      <c r="AM19" s="63"/>
      <c r="AN19" s="63"/>
      <c r="AO19" s="63"/>
    </row>
    <row r="20" spans="1:41" x14ac:dyDescent="0.2">
      <c r="B20" s="3" t="s">
        <v>117</v>
      </c>
      <c r="C20" s="33" t="s">
        <v>38</v>
      </c>
      <c r="D20" s="33" t="s">
        <v>38</v>
      </c>
      <c r="E20" s="33" t="s">
        <v>38</v>
      </c>
      <c r="F20" s="33">
        <v>60</v>
      </c>
      <c r="G20" s="33">
        <v>61.8</v>
      </c>
      <c r="H20" s="33">
        <v>63.65</v>
      </c>
      <c r="I20" s="33">
        <v>65.56</v>
      </c>
      <c r="J20" s="33">
        <v>67.53</v>
      </c>
      <c r="K20" s="33">
        <v>69.56</v>
      </c>
      <c r="L20" s="33">
        <v>71.64</v>
      </c>
      <c r="M20" s="33">
        <v>73.790000000000006</v>
      </c>
      <c r="N20" s="33">
        <v>76.010000000000005</v>
      </c>
      <c r="O20" s="33">
        <v>78.290000000000006</v>
      </c>
      <c r="P20" s="33">
        <v>80.63</v>
      </c>
      <c r="Q20" s="33">
        <v>83.05</v>
      </c>
      <c r="R20" s="33">
        <v>85.55</v>
      </c>
      <c r="V20" s="63"/>
      <c r="W20" s="63"/>
      <c r="X20" s="63"/>
      <c r="Y20" s="63"/>
      <c r="Z20" s="63"/>
      <c r="AA20" s="63"/>
      <c r="AB20" s="63"/>
      <c r="AC20" s="63"/>
      <c r="AD20" s="63"/>
      <c r="AE20" s="63"/>
      <c r="AF20" s="63"/>
      <c r="AG20" s="63"/>
      <c r="AH20" s="63"/>
      <c r="AI20" s="63"/>
      <c r="AJ20" s="63"/>
      <c r="AK20" s="63"/>
      <c r="AL20" s="63"/>
      <c r="AM20" s="63"/>
      <c r="AN20" s="63"/>
      <c r="AO20" s="63"/>
    </row>
    <row r="21" spans="1:41" x14ac:dyDescent="0.2">
      <c r="B21" s="11" t="s">
        <v>158</v>
      </c>
      <c r="C21" s="33" t="s">
        <v>38</v>
      </c>
      <c r="D21" s="33" t="s">
        <v>38</v>
      </c>
      <c r="E21" s="33" t="s">
        <v>38</v>
      </c>
      <c r="F21" s="35">
        <f>F19*F20</f>
        <v>60</v>
      </c>
      <c r="G21" s="35">
        <f>G19*G20</f>
        <v>123.6</v>
      </c>
      <c r="H21" s="35">
        <f t="shared" ref="H21:R21" si="0">H19*H20</f>
        <v>190.95</v>
      </c>
      <c r="I21" s="35">
        <f t="shared" si="0"/>
        <v>262.24</v>
      </c>
      <c r="J21" s="35">
        <f t="shared" si="0"/>
        <v>337.65</v>
      </c>
      <c r="K21" s="35">
        <f t="shared" si="0"/>
        <v>417.36</v>
      </c>
      <c r="L21" s="35">
        <f t="shared" si="0"/>
        <v>501.48</v>
      </c>
      <c r="M21" s="35">
        <f t="shared" si="0"/>
        <v>590.32000000000005</v>
      </c>
      <c r="N21" s="35">
        <f t="shared" si="0"/>
        <v>684.09</v>
      </c>
      <c r="O21" s="35">
        <f t="shared" si="0"/>
        <v>782.90000000000009</v>
      </c>
      <c r="P21" s="35">
        <f t="shared" si="0"/>
        <v>886.93</v>
      </c>
      <c r="Q21" s="35">
        <f t="shared" si="0"/>
        <v>913.55</v>
      </c>
      <c r="R21" s="35">
        <f t="shared" si="0"/>
        <v>941.05</v>
      </c>
      <c r="V21" s="63"/>
      <c r="W21" s="63"/>
      <c r="X21" s="63"/>
      <c r="Y21" s="63"/>
      <c r="Z21" s="63"/>
      <c r="AA21" s="63"/>
      <c r="AB21" s="63"/>
      <c r="AC21" s="63"/>
      <c r="AD21" s="63"/>
      <c r="AE21" s="63"/>
      <c r="AF21" s="63"/>
      <c r="AG21" s="63"/>
      <c r="AH21" s="63"/>
      <c r="AI21" s="63"/>
      <c r="AJ21" s="63"/>
      <c r="AK21" s="63"/>
      <c r="AL21" s="63"/>
      <c r="AM21" s="63"/>
      <c r="AN21" s="63"/>
      <c r="AO21" s="63"/>
    </row>
    <row r="22" spans="1:41" x14ac:dyDescent="0.2">
      <c r="B22" s="3" t="s">
        <v>159</v>
      </c>
      <c r="C22" s="31" t="s">
        <v>38</v>
      </c>
      <c r="D22" s="31" t="s">
        <v>38</v>
      </c>
      <c r="E22" s="31" t="s">
        <v>38</v>
      </c>
      <c r="F22" s="33">
        <f>F21*40%</f>
        <v>24</v>
      </c>
      <c r="G22" s="33">
        <f t="shared" ref="G22:R22" si="1">G21*40%</f>
        <v>49.44</v>
      </c>
      <c r="H22" s="33">
        <f t="shared" si="1"/>
        <v>76.38</v>
      </c>
      <c r="I22" s="33">
        <f t="shared" si="1"/>
        <v>104.89600000000002</v>
      </c>
      <c r="J22" s="33">
        <f t="shared" si="1"/>
        <v>135.06</v>
      </c>
      <c r="K22" s="33">
        <f t="shared" si="1"/>
        <v>166.94400000000002</v>
      </c>
      <c r="L22" s="33">
        <f t="shared" si="1"/>
        <v>200.59200000000001</v>
      </c>
      <c r="M22" s="33">
        <f t="shared" si="1"/>
        <v>236.12800000000004</v>
      </c>
      <c r="N22" s="33">
        <f t="shared" si="1"/>
        <v>273.63600000000002</v>
      </c>
      <c r="O22" s="33">
        <f t="shared" si="1"/>
        <v>313.16000000000008</v>
      </c>
      <c r="P22" s="33">
        <f t="shared" si="1"/>
        <v>354.77199999999999</v>
      </c>
      <c r="Q22" s="33">
        <f t="shared" si="1"/>
        <v>365.42</v>
      </c>
      <c r="R22" s="33">
        <f t="shared" si="1"/>
        <v>376.42</v>
      </c>
      <c r="V22" s="63"/>
      <c r="W22" s="63"/>
      <c r="X22" s="63"/>
      <c r="Y22" s="63"/>
      <c r="Z22" s="63"/>
      <c r="AA22" s="63"/>
      <c r="AB22" s="63"/>
      <c r="AC22" s="63"/>
      <c r="AD22" s="63"/>
      <c r="AE22" s="63"/>
      <c r="AF22" s="63"/>
      <c r="AG22" s="63"/>
      <c r="AH22" s="63"/>
      <c r="AI22" s="63"/>
      <c r="AJ22" s="63"/>
      <c r="AK22" s="63"/>
      <c r="AL22" s="63"/>
      <c r="AM22" s="63"/>
      <c r="AN22" s="63"/>
      <c r="AO22" s="63"/>
    </row>
    <row r="23" spans="1:41" x14ac:dyDescent="0.2">
      <c r="C23" s="94"/>
      <c r="D23" s="94"/>
      <c r="E23" s="94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V23" s="63"/>
      <c r="W23" s="63"/>
      <c r="X23" s="63"/>
      <c r="Y23" s="63"/>
      <c r="Z23" s="63"/>
      <c r="AA23" s="63"/>
      <c r="AB23" s="63"/>
      <c r="AC23" s="63"/>
      <c r="AD23" s="63"/>
      <c r="AE23" s="63"/>
      <c r="AF23" s="63"/>
      <c r="AG23" s="63"/>
      <c r="AH23" s="63"/>
      <c r="AI23" s="63"/>
      <c r="AJ23" s="63"/>
      <c r="AK23" s="63"/>
      <c r="AL23" s="63"/>
      <c r="AM23" s="63"/>
      <c r="AN23" s="63"/>
      <c r="AO23" s="63"/>
    </row>
    <row r="24" spans="1:41" x14ac:dyDescent="0.2">
      <c r="B24" s="5" t="s">
        <v>217</v>
      </c>
      <c r="C24" s="94"/>
      <c r="D24" s="94"/>
      <c r="E24" s="94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</row>
    <row r="25" spans="1:41" x14ac:dyDescent="0.2">
      <c r="B25" s="10" t="s">
        <v>115</v>
      </c>
      <c r="C25" s="31">
        <v>0</v>
      </c>
      <c r="D25" s="31">
        <v>1</v>
      </c>
      <c r="E25" s="31">
        <v>2</v>
      </c>
      <c r="F25" s="31">
        <v>3</v>
      </c>
      <c r="G25" s="31">
        <v>4</v>
      </c>
      <c r="H25" s="31">
        <v>5</v>
      </c>
      <c r="I25" s="31">
        <v>6</v>
      </c>
      <c r="J25" s="31">
        <v>7</v>
      </c>
      <c r="K25" s="31">
        <v>8</v>
      </c>
      <c r="L25" s="31">
        <v>9</v>
      </c>
      <c r="M25" s="31">
        <v>10</v>
      </c>
      <c r="N25" s="31">
        <v>11</v>
      </c>
      <c r="O25" s="31">
        <v>12</v>
      </c>
      <c r="P25" s="31">
        <v>13</v>
      </c>
      <c r="Q25" s="31">
        <v>14</v>
      </c>
      <c r="R25" s="31">
        <v>15</v>
      </c>
    </row>
    <row r="26" spans="1:41" x14ac:dyDescent="0.2">
      <c r="B26" s="3" t="s">
        <v>116</v>
      </c>
      <c r="C26" s="33">
        <v>0</v>
      </c>
      <c r="D26" s="33">
        <v>0</v>
      </c>
      <c r="E26" s="33">
        <v>0</v>
      </c>
      <c r="F26" s="33">
        <v>1</v>
      </c>
      <c r="G26" s="33">
        <v>2</v>
      </c>
      <c r="H26" s="33">
        <v>3</v>
      </c>
      <c r="I26" s="33">
        <v>4</v>
      </c>
      <c r="J26" s="33">
        <v>5</v>
      </c>
      <c r="K26" s="33">
        <v>6</v>
      </c>
      <c r="L26" s="33">
        <v>7</v>
      </c>
      <c r="M26" s="33">
        <v>8</v>
      </c>
      <c r="N26" s="33">
        <v>9</v>
      </c>
      <c r="O26" s="33">
        <v>10</v>
      </c>
      <c r="P26" s="33">
        <v>11</v>
      </c>
      <c r="Q26" s="33">
        <v>11</v>
      </c>
      <c r="R26" s="33">
        <v>11</v>
      </c>
    </row>
    <row r="27" spans="1:41" x14ac:dyDescent="0.2">
      <c r="B27" s="3" t="s">
        <v>218</v>
      </c>
      <c r="C27" s="33">
        <f>H4</f>
        <v>50</v>
      </c>
      <c r="D27" s="33">
        <f>H4*(1+H5)</f>
        <v>51.5</v>
      </c>
      <c r="E27" s="33">
        <f>D27*(1+H5)</f>
        <v>53.045000000000002</v>
      </c>
      <c r="F27" s="33">
        <f>E27*(1+H5)</f>
        <v>54.63635</v>
      </c>
      <c r="G27" s="33">
        <f>F27*(1+H5)</f>
        <v>56.275440500000002</v>
      </c>
      <c r="H27" s="33">
        <f>G27*(1+H5)</f>
        <v>57.963703715000001</v>
      </c>
      <c r="I27" s="33">
        <f>H27*(1+H5)</f>
        <v>59.702614826450002</v>
      </c>
      <c r="J27" s="33">
        <f>I27*(1+H5)</f>
        <v>61.493693271243501</v>
      </c>
      <c r="K27" s="33">
        <f>J27*(1+H5)</f>
        <v>63.338504069380811</v>
      </c>
      <c r="L27" s="33">
        <f>K27*(1+H5)</f>
        <v>65.238659191462233</v>
      </c>
      <c r="M27" s="33">
        <f>L27*(1+H5)</f>
        <v>67.195818967206108</v>
      </c>
      <c r="N27" s="33">
        <f>M27*(1+H5)</f>
        <v>69.211693536222299</v>
      </c>
      <c r="O27" s="33">
        <f>N27*(1+H5)</f>
        <v>71.288044342308964</v>
      </c>
      <c r="P27" s="33">
        <f>O27*(1+H5)</f>
        <v>73.42668567257823</v>
      </c>
      <c r="Q27" s="33">
        <f>P27*(1+H5)</f>
        <v>75.629486242755576</v>
      </c>
      <c r="R27" s="33">
        <f>Q27*(1+H5)</f>
        <v>77.898370830038246</v>
      </c>
    </row>
    <row r="28" spans="1:41" x14ac:dyDescent="0.2">
      <c r="B28" s="11" t="s">
        <v>158</v>
      </c>
      <c r="C28" s="35">
        <f>C26*C27</f>
        <v>0</v>
      </c>
      <c r="D28" s="35">
        <f>D26*D27</f>
        <v>0</v>
      </c>
      <c r="E28" s="35">
        <f>E26*E27</f>
        <v>0</v>
      </c>
      <c r="F28" s="35">
        <f>F26*F27</f>
        <v>54.63635</v>
      </c>
      <c r="G28" s="35">
        <f t="shared" ref="G28:R28" si="2">G26*G27</f>
        <v>112.550881</v>
      </c>
      <c r="H28" s="35">
        <f t="shared" si="2"/>
        <v>173.891111145</v>
      </c>
      <c r="I28" s="35">
        <f t="shared" si="2"/>
        <v>238.81045930580001</v>
      </c>
      <c r="J28" s="35">
        <f t="shared" si="2"/>
        <v>307.4684663562175</v>
      </c>
      <c r="K28" s="35">
        <f t="shared" si="2"/>
        <v>380.03102441628488</v>
      </c>
      <c r="L28" s="35">
        <f t="shared" si="2"/>
        <v>456.6706143402356</v>
      </c>
      <c r="M28" s="35">
        <f t="shared" si="2"/>
        <v>537.56655173764887</v>
      </c>
      <c r="N28" s="35">
        <f t="shared" si="2"/>
        <v>622.90524182600075</v>
      </c>
      <c r="O28" s="35">
        <f t="shared" si="2"/>
        <v>712.88044342308967</v>
      </c>
      <c r="P28" s="35">
        <f t="shared" si="2"/>
        <v>807.69354239836048</v>
      </c>
      <c r="Q28" s="35">
        <f t="shared" si="2"/>
        <v>831.92434867031136</v>
      </c>
      <c r="R28" s="35">
        <f t="shared" si="2"/>
        <v>856.88207913042072</v>
      </c>
    </row>
    <row r="29" spans="1:41" x14ac:dyDescent="0.2">
      <c r="B29" s="3" t="s">
        <v>219</v>
      </c>
      <c r="C29" s="33">
        <f>C28*H6</f>
        <v>0</v>
      </c>
      <c r="D29" s="33">
        <f>D28*H6</f>
        <v>0</v>
      </c>
      <c r="E29" s="33">
        <f>E28*H6</f>
        <v>0</v>
      </c>
      <c r="F29" s="33">
        <f>F28*H6</f>
        <v>9.2936431349999999</v>
      </c>
      <c r="G29" s="33">
        <f>G28*H6</f>
        <v>19.144904858100002</v>
      </c>
      <c r="H29" s="33">
        <f>H28*H6</f>
        <v>29.578878005764501</v>
      </c>
      <c r="I29" s="33">
        <f>I28*H6</f>
        <v>40.62165912791658</v>
      </c>
      <c r="J29" s="33">
        <f>J28*H6</f>
        <v>52.300386127192596</v>
      </c>
      <c r="K29" s="33">
        <f>K28*H6</f>
        <v>64.643277253210059</v>
      </c>
      <c r="L29" s="33">
        <f>L28*H6</f>
        <v>77.679671499274079</v>
      </c>
      <c r="M29" s="33">
        <f>M28*H6</f>
        <v>91.440070450574069</v>
      </c>
      <c r="N29" s="33">
        <f>N28*H6</f>
        <v>105.95618163460273</v>
      </c>
      <c r="O29" s="33">
        <f>O28*H6</f>
        <v>121.26096342626755</v>
      </c>
      <c r="P29" s="33">
        <f>P28*H6</f>
        <v>137.38867156196113</v>
      </c>
      <c r="Q29" s="33">
        <f>Q28*H6</f>
        <v>141.51033170881996</v>
      </c>
      <c r="R29" s="33">
        <f>R28*H6</f>
        <v>145.75564166008456</v>
      </c>
    </row>
    <row r="31" spans="1:41" x14ac:dyDescent="0.2">
      <c r="A31" s="7" t="s">
        <v>21</v>
      </c>
      <c r="B31" s="5" t="s">
        <v>164</v>
      </c>
    </row>
    <row r="32" spans="1:41" x14ac:dyDescent="0.2">
      <c r="B32" s="38" t="s">
        <v>115</v>
      </c>
      <c r="C32" s="39">
        <v>0</v>
      </c>
      <c r="D32" s="39">
        <v>1</v>
      </c>
      <c r="E32" s="39">
        <v>2</v>
      </c>
      <c r="F32" s="39">
        <v>3</v>
      </c>
      <c r="G32" s="39">
        <v>4</v>
      </c>
      <c r="H32" s="39">
        <v>5</v>
      </c>
      <c r="I32" s="39">
        <v>6</v>
      </c>
      <c r="J32" s="39">
        <v>7</v>
      </c>
      <c r="K32" s="39">
        <v>8</v>
      </c>
      <c r="L32" s="39">
        <v>9</v>
      </c>
      <c r="M32" s="39">
        <v>10</v>
      </c>
      <c r="N32" s="39">
        <v>11</v>
      </c>
      <c r="O32" s="39">
        <v>12</v>
      </c>
      <c r="P32" s="39">
        <v>13</v>
      </c>
      <c r="Q32" s="39">
        <v>14</v>
      </c>
      <c r="R32" s="39">
        <v>15</v>
      </c>
    </row>
    <row r="33" spans="1:18" x14ac:dyDescent="0.2">
      <c r="B33" s="3" t="s">
        <v>122</v>
      </c>
      <c r="C33" s="33">
        <v>250</v>
      </c>
      <c r="D33" s="31" t="s">
        <v>38</v>
      </c>
      <c r="E33" s="31" t="s">
        <v>38</v>
      </c>
      <c r="F33" s="31" t="s">
        <v>38</v>
      </c>
      <c r="G33" s="31" t="s">
        <v>38</v>
      </c>
      <c r="H33" s="31" t="s">
        <v>38</v>
      </c>
      <c r="I33" s="31" t="s">
        <v>38</v>
      </c>
      <c r="J33" s="31" t="s">
        <v>38</v>
      </c>
      <c r="K33" s="31" t="s">
        <v>38</v>
      </c>
      <c r="L33" s="31" t="s">
        <v>38</v>
      </c>
      <c r="M33" s="31" t="s">
        <v>38</v>
      </c>
      <c r="N33" s="31" t="s">
        <v>38</v>
      </c>
      <c r="O33" s="31" t="s">
        <v>38</v>
      </c>
      <c r="P33" s="31" t="s">
        <v>38</v>
      </c>
      <c r="Q33" s="31" t="s">
        <v>38</v>
      </c>
      <c r="R33" s="31" t="s">
        <v>38</v>
      </c>
    </row>
    <row r="34" spans="1:18" x14ac:dyDescent="0.2">
      <c r="B34" s="16" t="s">
        <v>123</v>
      </c>
      <c r="C34" s="37" t="s">
        <v>38</v>
      </c>
      <c r="D34" s="37" t="s">
        <v>38</v>
      </c>
      <c r="E34" s="37" t="s">
        <v>38</v>
      </c>
      <c r="F34" s="56">
        <v>100</v>
      </c>
      <c r="G34" s="45">
        <f>F34*(1+C4)</f>
        <v>103</v>
      </c>
      <c r="H34" s="45">
        <f>G34*(1+C4)</f>
        <v>106.09</v>
      </c>
      <c r="I34" s="45">
        <f>H34*(1+C4)</f>
        <v>109.2727</v>
      </c>
      <c r="J34" s="45">
        <f>I34*(1+C4)</f>
        <v>112.550881</v>
      </c>
      <c r="K34" s="45">
        <f>J34*(1+C4)</f>
        <v>115.92740743</v>
      </c>
      <c r="L34" s="45">
        <f>K34*(1+C4)</f>
        <v>119.4052296529</v>
      </c>
      <c r="M34" s="45">
        <f>L34*(1+C4)</f>
        <v>122.987386542487</v>
      </c>
      <c r="N34" s="45">
        <f>M34*(1+C4)</f>
        <v>126.67700813876162</v>
      </c>
      <c r="O34" s="45">
        <f>N34*(1+C4)</f>
        <v>130.47731838292447</v>
      </c>
      <c r="P34" s="45" t="s">
        <v>38</v>
      </c>
      <c r="Q34" s="37" t="s">
        <v>38</v>
      </c>
      <c r="R34" s="37" t="s">
        <v>38</v>
      </c>
    </row>
    <row r="36" spans="1:18" x14ac:dyDescent="0.2">
      <c r="A36" s="7" t="s">
        <v>39</v>
      </c>
      <c r="B36" s="5" t="s">
        <v>124</v>
      </c>
    </row>
    <row r="37" spans="1:18" x14ac:dyDescent="0.2">
      <c r="B37" s="38" t="s">
        <v>115</v>
      </c>
      <c r="C37" s="39">
        <v>0</v>
      </c>
      <c r="D37" s="39">
        <v>1</v>
      </c>
      <c r="E37" s="39">
        <v>2</v>
      </c>
      <c r="F37" s="37">
        <v>3</v>
      </c>
      <c r="G37" s="39">
        <v>4</v>
      </c>
      <c r="H37" s="39">
        <v>5</v>
      </c>
      <c r="I37" s="39">
        <v>6</v>
      </c>
      <c r="J37" s="39">
        <v>7</v>
      </c>
      <c r="K37" s="39">
        <v>8</v>
      </c>
      <c r="L37" s="39">
        <v>9</v>
      </c>
      <c r="M37" s="39">
        <v>10</v>
      </c>
      <c r="N37" s="39">
        <v>11</v>
      </c>
      <c r="O37" s="39">
        <v>12</v>
      </c>
      <c r="P37" s="39">
        <v>13</v>
      </c>
      <c r="Q37" s="39">
        <v>14</v>
      </c>
      <c r="R37" s="39">
        <v>15</v>
      </c>
    </row>
    <row r="38" spans="1:18" x14ac:dyDescent="0.2">
      <c r="B38" s="16" t="s">
        <v>125</v>
      </c>
      <c r="C38" s="36">
        <v>0.6</v>
      </c>
      <c r="D38" s="36">
        <f>C38*(1+C8)</f>
        <v>0.63</v>
      </c>
      <c r="E38" s="36">
        <f>D38*(1+C8)</f>
        <v>0.66150000000000009</v>
      </c>
      <c r="F38" s="36">
        <f>E38*(1+C8)</f>
        <v>0.69457500000000016</v>
      </c>
      <c r="G38" s="36">
        <f>F38*(1+C8)</f>
        <v>0.72930375000000025</v>
      </c>
      <c r="H38" s="36">
        <f>G38*(1+C8)</f>
        <v>0.7657689375000003</v>
      </c>
      <c r="I38" s="36">
        <f>H38*(1+C8)</f>
        <v>0.80405738437500041</v>
      </c>
      <c r="J38" s="36">
        <f>I38*(1+C8)</f>
        <v>0.84426025359375045</v>
      </c>
      <c r="K38" s="36">
        <f>J38*(1+C8)</f>
        <v>0.88647326627343803</v>
      </c>
      <c r="L38" s="36">
        <f>K38*(1+C8)</f>
        <v>0.93079692958711002</v>
      </c>
      <c r="M38" s="36">
        <f>L38*(1+C8)</f>
        <v>0.97733677606646552</v>
      </c>
      <c r="N38" s="36">
        <f>M38*(1+C8)</f>
        <v>1.0262036148697888</v>
      </c>
      <c r="O38" s="36">
        <f>N38*(1+C8)</f>
        <v>1.0775137956132783</v>
      </c>
      <c r="P38" s="36">
        <f>O38*(1+C8)</f>
        <v>1.1313894853939424</v>
      </c>
      <c r="Q38" s="36">
        <f>P38*(1+C8)</f>
        <v>1.1879589596636395</v>
      </c>
      <c r="R38" s="36">
        <f>Q38*(1+C8)</f>
        <v>1.2473569076468216</v>
      </c>
    </row>
    <row r="39" spans="1:18" x14ac:dyDescent="0.2">
      <c r="B39" s="16" t="s">
        <v>126</v>
      </c>
      <c r="C39" s="37" t="s">
        <v>38</v>
      </c>
      <c r="D39" s="37" t="s">
        <v>38</v>
      </c>
      <c r="E39" s="37" t="s">
        <v>38</v>
      </c>
      <c r="F39" s="36">
        <v>0.2</v>
      </c>
      <c r="G39" s="36">
        <f>F39*1+8%</f>
        <v>0.28000000000000003</v>
      </c>
      <c r="H39" s="36">
        <f t="shared" ref="H39" si="3">G39*1+8%</f>
        <v>0.36000000000000004</v>
      </c>
      <c r="I39" s="36">
        <f t="shared" ref="I39" si="4">H39*1+8%</f>
        <v>0.44000000000000006</v>
      </c>
      <c r="J39" s="36">
        <f t="shared" ref="J39" si="5">I39*1+8%</f>
        <v>0.52</v>
      </c>
      <c r="K39" s="36">
        <f t="shared" ref="K39" si="6">J39*1+8%</f>
        <v>0.6</v>
      </c>
      <c r="L39" s="36">
        <f t="shared" ref="L39" si="7">K39*1+8%</f>
        <v>0.67999999999999994</v>
      </c>
      <c r="M39" s="36">
        <f t="shared" ref="M39" si="8">L39*1+8%</f>
        <v>0.7599999999999999</v>
      </c>
      <c r="N39" s="36">
        <f t="shared" ref="N39" si="9">M39*1+8%</f>
        <v>0.83999999999999986</v>
      </c>
      <c r="O39" s="36">
        <f t="shared" ref="O39" si="10">N39*1+8%</f>
        <v>0.91999999999999982</v>
      </c>
      <c r="P39" s="36">
        <f t="shared" ref="P39" si="11">O39*1+8%</f>
        <v>0.99999999999999978</v>
      </c>
      <c r="Q39" s="36">
        <v>1</v>
      </c>
      <c r="R39" s="36">
        <f>Q39</f>
        <v>1</v>
      </c>
    </row>
    <row r="40" spans="1:18" x14ac:dyDescent="0.2">
      <c r="B40" s="3" t="s">
        <v>127</v>
      </c>
      <c r="C40" s="33" t="s">
        <v>38</v>
      </c>
      <c r="D40" s="33" t="s">
        <v>38</v>
      </c>
      <c r="E40" s="33" t="s">
        <v>38</v>
      </c>
      <c r="F40" s="33" t="s">
        <v>38</v>
      </c>
      <c r="G40" s="33">
        <v>225.1</v>
      </c>
      <c r="H40" s="33" t="s">
        <v>38</v>
      </c>
      <c r="I40" s="33" t="s">
        <v>38</v>
      </c>
      <c r="J40" s="33" t="s">
        <v>38</v>
      </c>
      <c r="K40" s="33" t="s">
        <v>38</v>
      </c>
      <c r="L40" s="33" t="s">
        <v>38</v>
      </c>
      <c r="M40" s="33" t="s">
        <v>38</v>
      </c>
      <c r="N40" s="33">
        <v>276.85000000000002</v>
      </c>
      <c r="O40" s="33" t="s">
        <v>38</v>
      </c>
      <c r="P40" s="33" t="s">
        <v>38</v>
      </c>
      <c r="Q40" s="33" t="s">
        <v>38</v>
      </c>
      <c r="R40" s="33" t="s">
        <v>38</v>
      </c>
    </row>
    <row r="41" spans="1:18" x14ac:dyDescent="0.2">
      <c r="B41" s="3" t="s">
        <v>174</v>
      </c>
      <c r="C41" s="31" t="s">
        <v>38</v>
      </c>
      <c r="D41" s="31" t="s">
        <v>38</v>
      </c>
      <c r="E41" s="31" t="s">
        <v>38</v>
      </c>
      <c r="F41" s="31" t="s">
        <v>38</v>
      </c>
      <c r="G41" s="31" t="s">
        <v>38</v>
      </c>
      <c r="H41" s="33">
        <f>G40/10</f>
        <v>22.509999999999998</v>
      </c>
      <c r="I41" s="33">
        <f>H41</f>
        <v>22.509999999999998</v>
      </c>
      <c r="J41" s="33">
        <f t="shared" ref="J41" si="12">I41</f>
        <v>22.509999999999998</v>
      </c>
      <c r="K41" s="33">
        <f t="shared" ref="K41" si="13">J41</f>
        <v>22.509999999999998</v>
      </c>
      <c r="L41" s="33">
        <f t="shared" ref="L41" si="14">K41</f>
        <v>22.509999999999998</v>
      </c>
      <c r="M41" s="33">
        <f t="shared" ref="M41" si="15">L41</f>
        <v>22.509999999999998</v>
      </c>
      <c r="N41" s="33">
        <f t="shared" ref="N41" si="16">M41</f>
        <v>22.509999999999998</v>
      </c>
      <c r="O41" s="28">
        <v>-5.17</v>
      </c>
      <c r="P41" s="28">
        <v>-5.17</v>
      </c>
      <c r="Q41" s="28">
        <v>-5.17</v>
      </c>
      <c r="R41" s="33" t="s">
        <v>38</v>
      </c>
    </row>
    <row r="43" spans="1:18" x14ac:dyDescent="0.2">
      <c r="B43" s="5" t="s">
        <v>173</v>
      </c>
    </row>
    <row r="44" spans="1:18" x14ac:dyDescent="0.2">
      <c r="B44" s="38" t="s">
        <v>115</v>
      </c>
      <c r="C44" s="37">
        <v>0</v>
      </c>
      <c r="D44" s="37">
        <v>1</v>
      </c>
      <c r="E44" s="37">
        <v>2</v>
      </c>
      <c r="F44" s="37">
        <v>3</v>
      </c>
      <c r="G44" s="37">
        <v>4</v>
      </c>
      <c r="H44" s="37">
        <v>5</v>
      </c>
      <c r="I44" s="37">
        <v>6</v>
      </c>
      <c r="J44" s="37">
        <v>7</v>
      </c>
      <c r="K44" s="37">
        <v>8</v>
      </c>
      <c r="L44" s="37">
        <v>9</v>
      </c>
      <c r="M44" s="37">
        <v>10</v>
      </c>
      <c r="N44" s="37">
        <v>11</v>
      </c>
      <c r="O44" s="37">
        <v>12</v>
      </c>
      <c r="P44" s="37">
        <v>13</v>
      </c>
      <c r="Q44" s="37">
        <v>14</v>
      </c>
      <c r="R44" s="37">
        <v>15</v>
      </c>
    </row>
    <row r="45" spans="1:18" x14ac:dyDescent="0.2">
      <c r="B45" s="3" t="s">
        <v>128</v>
      </c>
      <c r="C45" s="31" t="s">
        <v>38</v>
      </c>
      <c r="D45" s="31" t="s">
        <v>38</v>
      </c>
      <c r="E45" s="31" t="s">
        <v>38</v>
      </c>
      <c r="F45" s="33">
        <f>C100/10</f>
        <v>25</v>
      </c>
      <c r="G45" s="33">
        <v>25</v>
      </c>
      <c r="H45" s="33">
        <v>25</v>
      </c>
      <c r="I45" s="33">
        <v>25</v>
      </c>
      <c r="J45" s="33">
        <v>25</v>
      </c>
      <c r="K45" s="33">
        <v>25</v>
      </c>
      <c r="L45" s="33">
        <v>25</v>
      </c>
      <c r="M45" s="33">
        <v>25</v>
      </c>
      <c r="N45" s="33">
        <v>25</v>
      </c>
      <c r="O45" s="33">
        <v>25</v>
      </c>
      <c r="P45" s="33" t="s">
        <v>38</v>
      </c>
      <c r="Q45" s="33" t="s">
        <v>38</v>
      </c>
      <c r="R45" s="33" t="s">
        <v>38</v>
      </c>
    </row>
    <row r="46" spans="1:18" x14ac:dyDescent="0.2">
      <c r="B46" s="3" t="s">
        <v>129</v>
      </c>
      <c r="C46" s="31" t="s">
        <v>38</v>
      </c>
      <c r="D46" s="31" t="s">
        <v>38</v>
      </c>
      <c r="E46" s="31" t="s">
        <v>38</v>
      </c>
      <c r="F46" s="31" t="s">
        <v>38</v>
      </c>
      <c r="G46" s="33">
        <f>F101/10</f>
        <v>10</v>
      </c>
      <c r="H46" s="33">
        <v>10</v>
      </c>
      <c r="I46" s="33">
        <v>10</v>
      </c>
      <c r="J46" s="33">
        <v>10</v>
      </c>
      <c r="K46" s="33">
        <v>10</v>
      </c>
      <c r="L46" s="33">
        <v>10</v>
      </c>
      <c r="M46" s="33">
        <v>10</v>
      </c>
      <c r="N46" s="33">
        <v>10</v>
      </c>
      <c r="O46" s="33">
        <v>10</v>
      </c>
      <c r="P46" s="33">
        <v>10</v>
      </c>
      <c r="Q46" s="33" t="s">
        <v>38</v>
      </c>
      <c r="R46" s="33" t="s">
        <v>38</v>
      </c>
    </row>
    <row r="47" spans="1:18" x14ac:dyDescent="0.2">
      <c r="B47" s="3" t="s">
        <v>130</v>
      </c>
      <c r="C47" s="31" t="s">
        <v>38</v>
      </c>
      <c r="D47" s="31" t="s">
        <v>38</v>
      </c>
      <c r="E47" s="31" t="s">
        <v>38</v>
      </c>
      <c r="F47" s="31" t="s">
        <v>38</v>
      </c>
      <c r="G47" s="31" t="s">
        <v>38</v>
      </c>
      <c r="H47" s="33">
        <f>G101/10</f>
        <v>10.3</v>
      </c>
      <c r="I47" s="33">
        <v>10.3</v>
      </c>
      <c r="J47" s="33">
        <v>10.3</v>
      </c>
      <c r="K47" s="33">
        <v>10.3</v>
      </c>
      <c r="L47" s="33">
        <v>10.3</v>
      </c>
      <c r="M47" s="33">
        <v>10.3</v>
      </c>
      <c r="N47" s="33">
        <v>10.3</v>
      </c>
      <c r="O47" s="33">
        <v>10.3</v>
      </c>
      <c r="P47" s="33">
        <v>10.3</v>
      </c>
      <c r="Q47" s="33">
        <v>10.3</v>
      </c>
      <c r="R47" s="33" t="s">
        <v>38</v>
      </c>
    </row>
    <row r="48" spans="1:18" x14ac:dyDescent="0.2">
      <c r="B48" s="3" t="s">
        <v>131</v>
      </c>
      <c r="C48" s="31" t="s">
        <v>38</v>
      </c>
      <c r="D48" s="31" t="s">
        <v>38</v>
      </c>
      <c r="E48" s="31" t="s">
        <v>38</v>
      </c>
      <c r="F48" s="31" t="s">
        <v>38</v>
      </c>
      <c r="G48" s="31" t="s">
        <v>38</v>
      </c>
      <c r="H48" s="31" t="s">
        <v>38</v>
      </c>
      <c r="I48" s="33">
        <f>H101/10</f>
        <v>10.609</v>
      </c>
      <c r="J48" s="33">
        <v>10.61</v>
      </c>
      <c r="K48" s="33">
        <v>10.61</v>
      </c>
      <c r="L48" s="33">
        <v>10.61</v>
      </c>
      <c r="M48" s="33">
        <v>10.61</v>
      </c>
      <c r="N48" s="33">
        <v>10.61</v>
      </c>
      <c r="O48" s="33">
        <v>10.61</v>
      </c>
      <c r="P48" s="33">
        <v>10.61</v>
      </c>
      <c r="Q48" s="33">
        <v>10.61</v>
      </c>
      <c r="R48" s="33">
        <v>10.61</v>
      </c>
    </row>
    <row r="49" spans="1:19" x14ac:dyDescent="0.2">
      <c r="B49" s="3" t="s">
        <v>132</v>
      </c>
      <c r="C49" s="31" t="s">
        <v>38</v>
      </c>
      <c r="D49" s="31" t="s">
        <v>38</v>
      </c>
      <c r="E49" s="31" t="s">
        <v>38</v>
      </c>
      <c r="F49" s="31" t="s">
        <v>38</v>
      </c>
      <c r="G49" s="31" t="s">
        <v>38</v>
      </c>
      <c r="H49" s="31" t="s">
        <v>38</v>
      </c>
      <c r="I49" s="31" t="s">
        <v>38</v>
      </c>
      <c r="J49" s="33">
        <f>I101/10</f>
        <v>10.92727</v>
      </c>
      <c r="K49" s="33">
        <v>10.93</v>
      </c>
      <c r="L49" s="33">
        <v>10.93</v>
      </c>
      <c r="M49" s="33">
        <v>10.93</v>
      </c>
      <c r="N49" s="33">
        <v>10.93</v>
      </c>
      <c r="O49" s="33">
        <v>10.93</v>
      </c>
      <c r="P49" s="33">
        <v>10.93</v>
      </c>
      <c r="Q49" s="33">
        <v>10.93</v>
      </c>
      <c r="R49" s="33">
        <v>10.93</v>
      </c>
    </row>
    <row r="50" spans="1:19" x14ac:dyDescent="0.2">
      <c r="B50" s="32" t="s">
        <v>133</v>
      </c>
      <c r="C50" s="31" t="s">
        <v>38</v>
      </c>
      <c r="D50" s="31" t="s">
        <v>38</v>
      </c>
      <c r="E50" s="31" t="s">
        <v>38</v>
      </c>
      <c r="F50" s="31" t="s">
        <v>38</v>
      </c>
      <c r="G50" s="31" t="s">
        <v>38</v>
      </c>
      <c r="H50" s="31" t="s">
        <v>38</v>
      </c>
      <c r="I50" s="31" t="s">
        <v>38</v>
      </c>
      <c r="J50" s="31" t="s">
        <v>38</v>
      </c>
      <c r="K50" s="33">
        <f>J101/10</f>
        <v>11.2550881</v>
      </c>
      <c r="L50" s="33">
        <v>11.26</v>
      </c>
      <c r="M50" s="33">
        <v>11.26</v>
      </c>
      <c r="N50" s="33">
        <v>11.26</v>
      </c>
      <c r="O50" s="33">
        <v>11.26</v>
      </c>
      <c r="P50" s="33">
        <v>11.26</v>
      </c>
      <c r="Q50" s="33">
        <v>11.26</v>
      </c>
      <c r="R50" s="33">
        <v>11.26</v>
      </c>
    </row>
    <row r="51" spans="1:19" x14ac:dyDescent="0.2">
      <c r="B51" s="32" t="s">
        <v>134</v>
      </c>
      <c r="C51" s="31" t="s">
        <v>38</v>
      </c>
      <c r="D51" s="31" t="s">
        <v>38</v>
      </c>
      <c r="E51" s="31" t="s">
        <v>38</v>
      </c>
      <c r="F51" s="31" t="s">
        <v>38</v>
      </c>
      <c r="G51" s="31" t="s">
        <v>38</v>
      </c>
      <c r="H51" s="31" t="s">
        <v>38</v>
      </c>
      <c r="I51" s="31" t="s">
        <v>38</v>
      </c>
      <c r="J51" s="31" t="s">
        <v>38</v>
      </c>
      <c r="K51" s="31" t="s">
        <v>38</v>
      </c>
      <c r="L51" s="33">
        <f>K101/10</f>
        <v>11.592740743</v>
      </c>
      <c r="M51" s="33">
        <v>11.59</v>
      </c>
      <c r="N51" s="33">
        <v>11.59</v>
      </c>
      <c r="O51" s="33">
        <v>11.59</v>
      </c>
      <c r="P51" s="33">
        <v>11.59</v>
      </c>
      <c r="Q51" s="33">
        <v>11.59</v>
      </c>
      <c r="R51" s="33">
        <v>11.59</v>
      </c>
    </row>
    <row r="52" spans="1:19" x14ac:dyDescent="0.2">
      <c r="B52" s="32" t="s">
        <v>135</v>
      </c>
      <c r="C52" s="31" t="s">
        <v>38</v>
      </c>
      <c r="D52" s="31" t="s">
        <v>38</v>
      </c>
      <c r="E52" s="31" t="s">
        <v>38</v>
      </c>
      <c r="F52" s="31" t="s">
        <v>38</v>
      </c>
      <c r="G52" s="31" t="s">
        <v>38</v>
      </c>
      <c r="H52" s="31" t="s">
        <v>38</v>
      </c>
      <c r="I52" s="31" t="s">
        <v>38</v>
      </c>
      <c r="J52" s="31" t="s">
        <v>38</v>
      </c>
      <c r="K52" s="31" t="s">
        <v>38</v>
      </c>
      <c r="L52" s="31" t="s">
        <v>38</v>
      </c>
      <c r="M52" s="33">
        <f>L101/10</f>
        <v>11.94052296529</v>
      </c>
      <c r="N52" s="33">
        <v>11.94</v>
      </c>
      <c r="O52" s="33">
        <v>11.94</v>
      </c>
      <c r="P52" s="33">
        <v>11.94</v>
      </c>
      <c r="Q52" s="33">
        <v>11.94</v>
      </c>
      <c r="R52" s="33">
        <v>11.94</v>
      </c>
    </row>
    <row r="53" spans="1:19" x14ac:dyDescent="0.2">
      <c r="B53" s="32" t="s">
        <v>136</v>
      </c>
      <c r="C53" s="31" t="s">
        <v>38</v>
      </c>
      <c r="D53" s="31" t="s">
        <v>38</v>
      </c>
      <c r="E53" s="31" t="s">
        <v>38</v>
      </c>
      <c r="F53" s="31" t="s">
        <v>38</v>
      </c>
      <c r="G53" s="31" t="s">
        <v>38</v>
      </c>
      <c r="H53" s="31" t="s">
        <v>38</v>
      </c>
      <c r="I53" s="31" t="s">
        <v>38</v>
      </c>
      <c r="J53" s="31" t="s">
        <v>38</v>
      </c>
      <c r="K53" s="31" t="s">
        <v>38</v>
      </c>
      <c r="L53" s="31" t="s">
        <v>38</v>
      </c>
      <c r="M53" s="31" t="s">
        <v>38</v>
      </c>
      <c r="N53" s="33">
        <f>M101/10</f>
        <v>12.2987386542487</v>
      </c>
      <c r="O53" s="33">
        <v>12.3</v>
      </c>
      <c r="P53" s="33">
        <v>12.3</v>
      </c>
      <c r="Q53" s="33">
        <v>12.3</v>
      </c>
      <c r="R53" s="33">
        <v>12.3</v>
      </c>
    </row>
    <row r="54" spans="1:19" x14ac:dyDescent="0.2">
      <c r="B54" s="32" t="s">
        <v>137</v>
      </c>
      <c r="C54" s="31" t="s">
        <v>38</v>
      </c>
      <c r="D54" s="31" t="s">
        <v>38</v>
      </c>
      <c r="E54" s="31" t="s">
        <v>38</v>
      </c>
      <c r="F54" s="31" t="s">
        <v>38</v>
      </c>
      <c r="G54" s="31" t="s">
        <v>38</v>
      </c>
      <c r="H54" s="31" t="s">
        <v>38</v>
      </c>
      <c r="I54" s="31" t="s">
        <v>38</v>
      </c>
      <c r="J54" s="31" t="s">
        <v>38</v>
      </c>
      <c r="K54" s="31" t="s">
        <v>38</v>
      </c>
      <c r="L54" s="31" t="s">
        <v>38</v>
      </c>
      <c r="M54" s="31" t="s">
        <v>38</v>
      </c>
      <c r="N54" s="31" t="s">
        <v>38</v>
      </c>
      <c r="O54" s="33">
        <f>N101/10</f>
        <v>12.667700813876163</v>
      </c>
      <c r="P54" s="33">
        <v>12.67</v>
      </c>
      <c r="Q54" s="33">
        <v>12.67</v>
      </c>
      <c r="R54" s="33">
        <v>12.67</v>
      </c>
    </row>
    <row r="55" spans="1:19" x14ac:dyDescent="0.2">
      <c r="B55" s="32" t="s">
        <v>138</v>
      </c>
      <c r="C55" s="31" t="s">
        <v>38</v>
      </c>
      <c r="D55" s="31" t="s">
        <v>38</v>
      </c>
      <c r="E55" s="31" t="s">
        <v>38</v>
      </c>
      <c r="F55" s="31" t="s">
        <v>38</v>
      </c>
      <c r="G55" s="31" t="s">
        <v>38</v>
      </c>
      <c r="H55" s="31" t="s">
        <v>38</v>
      </c>
      <c r="I55" s="31" t="s">
        <v>38</v>
      </c>
      <c r="J55" s="31" t="s">
        <v>38</v>
      </c>
      <c r="K55" s="31" t="s">
        <v>38</v>
      </c>
      <c r="L55" s="31" t="s">
        <v>38</v>
      </c>
      <c r="M55" s="31" t="s">
        <v>38</v>
      </c>
      <c r="N55" s="31" t="s">
        <v>38</v>
      </c>
      <c r="O55" s="31" t="s">
        <v>38</v>
      </c>
      <c r="P55" s="33">
        <f>O101/10</f>
        <v>13.047731838292446</v>
      </c>
      <c r="Q55" s="33">
        <v>13.05</v>
      </c>
      <c r="R55" s="33">
        <v>13.05</v>
      </c>
    </row>
    <row r="56" spans="1:19" x14ac:dyDescent="0.2">
      <c r="B56" s="3" t="s">
        <v>139</v>
      </c>
      <c r="C56" s="31" t="s">
        <v>38</v>
      </c>
      <c r="D56" s="31" t="s">
        <v>38</v>
      </c>
      <c r="E56" s="31" t="s">
        <v>38</v>
      </c>
      <c r="F56" s="31" t="s">
        <v>38</v>
      </c>
      <c r="G56" s="31" t="s">
        <v>38</v>
      </c>
      <c r="H56" s="33">
        <v>22.51</v>
      </c>
      <c r="I56" s="33">
        <v>22.51</v>
      </c>
      <c r="J56" s="33">
        <v>22.51</v>
      </c>
      <c r="K56" s="33">
        <v>22.51</v>
      </c>
      <c r="L56" s="33">
        <v>22.51</v>
      </c>
      <c r="M56" s="33">
        <v>22.51</v>
      </c>
      <c r="N56" s="33">
        <v>22.51</v>
      </c>
      <c r="O56" s="33">
        <v>-5.17</v>
      </c>
      <c r="P56" s="33">
        <v>-5.17</v>
      </c>
      <c r="Q56" s="33">
        <v>-5.17</v>
      </c>
      <c r="R56" s="33">
        <v>-5.17</v>
      </c>
    </row>
    <row r="57" spans="1:19" x14ac:dyDescent="0.2">
      <c r="B57" s="3" t="s">
        <v>140</v>
      </c>
      <c r="C57" s="31" t="s">
        <v>38</v>
      </c>
      <c r="D57" s="31" t="s">
        <v>38</v>
      </c>
      <c r="E57" s="31" t="s">
        <v>38</v>
      </c>
      <c r="F57" s="33">
        <f>SUM(F45)</f>
        <v>25</v>
      </c>
      <c r="G57" s="33">
        <f>SUM(G45:G46)</f>
        <v>35</v>
      </c>
      <c r="H57" s="33">
        <f t="shared" ref="H57:R57" si="17">SUM(H45:H56)</f>
        <v>67.81</v>
      </c>
      <c r="I57" s="33">
        <f t="shared" si="17"/>
        <v>78.418999999999997</v>
      </c>
      <c r="J57" s="33">
        <f t="shared" si="17"/>
        <v>89.347269999999995</v>
      </c>
      <c r="K57" s="33">
        <f t="shared" si="17"/>
        <v>100.6050881</v>
      </c>
      <c r="L57" s="33">
        <f t="shared" si="17"/>
        <v>112.20274074300001</v>
      </c>
      <c r="M57" s="33">
        <f t="shared" si="17"/>
        <v>124.14052296529002</v>
      </c>
      <c r="N57" s="33">
        <f t="shared" si="17"/>
        <v>136.43873865424871</v>
      </c>
      <c r="O57" s="33">
        <f t="shared" si="17"/>
        <v>121.42770081387617</v>
      </c>
      <c r="P57" s="33">
        <f t="shared" si="17"/>
        <v>109.47773183829244</v>
      </c>
      <c r="Q57" s="33">
        <f t="shared" si="17"/>
        <v>99.47999999999999</v>
      </c>
      <c r="R57" s="33">
        <f t="shared" si="17"/>
        <v>89.179999999999993</v>
      </c>
    </row>
    <row r="58" spans="1:19" x14ac:dyDescent="0.2">
      <c r="B58" s="11" t="s">
        <v>141</v>
      </c>
      <c r="C58" s="20" t="s">
        <v>38</v>
      </c>
      <c r="D58" s="20" t="s">
        <v>38</v>
      </c>
      <c r="E58" s="20" t="s">
        <v>38</v>
      </c>
      <c r="F58" s="35">
        <f>F57</f>
        <v>25</v>
      </c>
      <c r="G58" s="35">
        <f>G57</f>
        <v>35</v>
      </c>
      <c r="H58" s="35">
        <f t="shared" ref="H58:R58" si="18">H57</f>
        <v>67.81</v>
      </c>
      <c r="I58" s="35">
        <f t="shared" si="18"/>
        <v>78.418999999999997</v>
      </c>
      <c r="J58" s="35">
        <f t="shared" si="18"/>
        <v>89.347269999999995</v>
      </c>
      <c r="K58" s="35">
        <f t="shared" si="18"/>
        <v>100.6050881</v>
      </c>
      <c r="L58" s="35">
        <f t="shared" si="18"/>
        <v>112.20274074300001</v>
      </c>
      <c r="M58" s="35">
        <f t="shared" si="18"/>
        <v>124.14052296529002</v>
      </c>
      <c r="N58" s="35">
        <f t="shared" si="18"/>
        <v>136.43873865424871</v>
      </c>
      <c r="O58" s="35">
        <f t="shared" si="18"/>
        <v>121.42770081387617</v>
      </c>
      <c r="P58" s="35">
        <f t="shared" si="18"/>
        <v>109.47773183829244</v>
      </c>
      <c r="Q58" s="35">
        <f t="shared" si="18"/>
        <v>99.47999999999999</v>
      </c>
      <c r="R58" s="35">
        <f t="shared" si="18"/>
        <v>89.179999999999993</v>
      </c>
    </row>
    <row r="59" spans="1:19" x14ac:dyDescent="0.2">
      <c r="B59" s="16" t="s">
        <v>175</v>
      </c>
      <c r="C59" s="20" t="s">
        <v>38</v>
      </c>
      <c r="D59" s="20" t="s">
        <v>38</v>
      </c>
      <c r="E59" s="20" t="s">
        <v>38</v>
      </c>
      <c r="F59" s="45">
        <f>SUM(F45)</f>
        <v>25</v>
      </c>
      <c r="G59" s="45">
        <f>SUM(G45:G46)</f>
        <v>35</v>
      </c>
      <c r="H59" s="45">
        <f>SUM(H45:H47)</f>
        <v>45.3</v>
      </c>
      <c r="I59" s="45">
        <f>SUM(I45:I48)</f>
        <v>55.908999999999999</v>
      </c>
      <c r="J59" s="45">
        <f>SUM(J45:J49)</f>
        <v>66.83726999999999</v>
      </c>
      <c r="K59" s="45">
        <f>SUM(K45:K50)</f>
        <v>78.095088099999998</v>
      </c>
      <c r="L59" s="45">
        <f>SUM(L45:L51)</f>
        <v>89.692740743000002</v>
      </c>
      <c r="M59" s="45">
        <f>SUM(M45:M52)</f>
        <v>101.63052296529001</v>
      </c>
      <c r="N59" s="45">
        <f>SUM(N45:N53)</f>
        <v>113.9287386542487</v>
      </c>
      <c r="O59" s="45">
        <f>SUM(O45:O54)</f>
        <v>126.59770081387617</v>
      </c>
      <c r="P59" s="45">
        <f>SUM(P46:P55)</f>
        <v>114.64773183829244</v>
      </c>
      <c r="Q59" s="45">
        <f>SUM(Q47:Q55)</f>
        <v>104.64999999999999</v>
      </c>
      <c r="R59" s="45">
        <f>SUM(R48:R55)</f>
        <v>94.35</v>
      </c>
    </row>
    <row r="60" spans="1:19" x14ac:dyDescent="0.2">
      <c r="B60" s="16" t="s">
        <v>169</v>
      </c>
      <c r="C60" s="45">
        <f>C33</f>
        <v>250</v>
      </c>
      <c r="D60" s="45">
        <f>C33</f>
        <v>250</v>
      </c>
      <c r="E60" s="45">
        <f>C33</f>
        <v>250</v>
      </c>
      <c r="F60" s="45">
        <f>C60+F34-F45</f>
        <v>325</v>
      </c>
      <c r="G60" s="45">
        <f>F60+G34-G59</f>
        <v>393</v>
      </c>
      <c r="H60" s="45">
        <f t="shared" ref="H60:O60" si="19">G60+H34-H59</f>
        <v>453.79</v>
      </c>
      <c r="I60" s="45">
        <f t="shared" si="19"/>
        <v>507.15370000000007</v>
      </c>
      <c r="J60" s="45">
        <f t="shared" si="19"/>
        <v>552.86731100000009</v>
      </c>
      <c r="K60" s="45">
        <f t="shared" si="19"/>
        <v>590.6996303300001</v>
      </c>
      <c r="L60" s="45">
        <f t="shared" si="19"/>
        <v>620.41211923989999</v>
      </c>
      <c r="M60" s="45">
        <f t="shared" si="19"/>
        <v>641.76898281709703</v>
      </c>
      <c r="N60" s="45">
        <f t="shared" si="19"/>
        <v>654.51725230160991</v>
      </c>
      <c r="O60" s="45">
        <f t="shared" si="19"/>
        <v>658.39686987065829</v>
      </c>
      <c r="P60" s="45">
        <f>O60-P59</f>
        <v>543.74913803236586</v>
      </c>
      <c r="Q60" s="45">
        <f t="shared" ref="Q60:R60" si="20">P60-Q59</f>
        <v>439.09913803236589</v>
      </c>
      <c r="R60" s="45">
        <f t="shared" si="20"/>
        <v>344.74913803236586</v>
      </c>
    </row>
    <row r="62" spans="1:19" x14ac:dyDescent="0.2">
      <c r="A62" s="7" t="s">
        <v>148</v>
      </c>
      <c r="B62" s="5" t="s">
        <v>142</v>
      </c>
      <c r="C62" s="5"/>
      <c r="D62" s="5"/>
      <c r="E62" s="5"/>
      <c r="F62" s="5"/>
      <c r="G62" s="47"/>
      <c r="H62" s="48"/>
      <c r="I62" s="48"/>
      <c r="J62" s="5"/>
      <c r="K62" s="5"/>
      <c r="L62" s="5"/>
      <c r="M62" s="5"/>
      <c r="N62" s="5"/>
      <c r="O62" s="5"/>
      <c r="P62" s="5"/>
      <c r="Q62" s="5"/>
      <c r="R62" s="5"/>
      <c r="S62" s="5"/>
    </row>
    <row r="63" spans="1:19" x14ac:dyDescent="0.2">
      <c r="B63" s="10" t="s">
        <v>115</v>
      </c>
      <c r="C63" s="31">
        <v>0</v>
      </c>
      <c r="D63" s="31">
        <v>1</v>
      </c>
      <c r="E63" s="31">
        <v>2</v>
      </c>
      <c r="F63" s="31">
        <v>3</v>
      </c>
      <c r="G63" s="31">
        <v>4</v>
      </c>
      <c r="H63" s="31">
        <v>5</v>
      </c>
      <c r="I63" s="31">
        <v>6</v>
      </c>
      <c r="J63" s="31">
        <v>7</v>
      </c>
      <c r="K63" s="31">
        <v>8</v>
      </c>
      <c r="L63" s="31">
        <v>9</v>
      </c>
      <c r="M63" s="31">
        <v>10</v>
      </c>
      <c r="N63" s="31">
        <v>11</v>
      </c>
      <c r="O63" s="31">
        <v>12</v>
      </c>
      <c r="P63" s="31">
        <v>13</v>
      </c>
      <c r="Q63" s="31">
        <v>14</v>
      </c>
      <c r="R63" s="31">
        <v>15</v>
      </c>
      <c r="S63" s="5"/>
    </row>
    <row r="64" spans="1:19" x14ac:dyDescent="0.2">
      <c r="B64" s="3" t="s">
        <v>145</v>
      </c>
      <c r="C64" s="10" t="s">
        <v>38</v>
      </c>
      <c r="D64" s="10" t="s">
        <v>38</v>
      </c>
      <c r="E64" s="10" t="s">
        <v>38</v>
      </c>
      <c r="F64" s="33">
        <f t="shared" ref="F64:R64" si="21">F21*10%</f>
        <v>6</v>
      </c>
      <c r="G64" s="33">
        <f t="shared" si="21"/>
        <v>12.36</v>
      </c>
      <c r="H64" s="33">
        <f t="shared" si="21"/>
        <v>19.094999999999999</v>
      </c>
      <c r="I64" s="33">
        <f t="shared" si="21"/>
        <v>26.224000000000004</v>
      </c>
      <c r="J64" s="33">
        <f t="shared" si="21"/>
        <v>33.765000000000001</v>
      </c>
      <c r="K64" s="33">
        <f t="shared" si="21"/>
        <v>41.736000000000004</v>
      </c>
      <c r="L64" s="33">
        <f t="shared" si="21"/>
        <v>50.148000000000003</v>
      </c>
      <c r="M64" s="33">
        <f t="shared" si="21"/>
        <v>59.032000000000011</v>
      </c>
      <c r="N64" s="33">
        <f t="shared" si="21"/>
        <v>68.409000000000006</v>
      </c>
      <c r="O64" s="33">
        <f t="shared" si="21"/>
        <v>78.29000000000002</v>
      </c>
      <c r="P64" s="33">
        <f t="shared" si="21"/>
        <v>88.692999999999998</v>
      </c>
      <c r="Q64" s="33">
        <f t="shared" si="21"/>
        <v>91.355000000000004</v>
      </c>
      <c r="R64" s="33">
        <f t="shared" si="21"/>
        <v>94.105000000000004</v>
      </c>
      <c r="S64" s="5"/>
    </row>
    <row r="65" spans="1:19" x14ac:dyDescent="0.2">
      <c r="B65" s="3" t="s">
        <v>144</v>
      </c>
      <c r="C65" s="10" t="s">
        <v>38</v>
      </c>
      <c r="D65" s="10" t="s">
        <v>38</v>
      </c>
      <c r="E65" s="10" t="s">
        <v>38</v>
      </c>
      <c r="F65" s="33">
        <f t="shared" ref="F65:R65" si="22">F22*10%</f>
        <v>2.4000000000000004</v>
      </c>
      <c r="G65" s="33">
        <f t="shared" si="22"/>
        <v>4.944</v>
      </c>
      <c r="H65" s="33">
        <f t="shared" si="22"/>
        <v>7.6379999999999999</v>
      </c>
      <c r="I65" s="33">
        <f t="shared" si="22"/>
        <v>10.489600000000003</v>
      </c>
      <c r="J65" s="33">
        <f t="shared" si="22"/>
        <v>13.506</v>
      </c>
      <c r="K65" s="33">
        <f t="shared" si="22"/>
        <v>16.694400000000002</v>
      </c>
      <c r="L65" s="33">
        <f t="shared" si="22"/>
        <v>20.059200000000004</v>
      </c>
      <c r="M65" s="33">
        <f t="shared" si="22"/>
        <v>23.612800000000007</v>
      </c>
      <c r="N65" s="33">
        <f t="shared" si="22"/>
        <v>27.363600000000005</v>
      </c>
      <c r="O65" s="33">
        <f t="shared" si="22"/>
        <v>31.31600000000001</v>
      </c>
      <c r="P65" s="33">
        <f t="shared" si="22"/>
        <v>35.477200000000003</v>
      </c>
      <c r="Q65" s="33">
        <f t="shared" si="22"/>
        <v>36.542000000000002</v>
      </c>
      <c r="R65" s="33">
        <f t="shared" si="22"/>
        <v>37.642000000000003</v>
      </c>
      <c r="S65" s="5"/>
    </row>
    <row r="66" spans="1:19" x14ac:dyDescent="0.2">
      <c r="B66" s="46" t="s">
        <v>146</v>
      </c>
      <c r="C66" s="10" t="s">
        <v>38</v>
      </c>
      <c r="D66" s="10" t="s">
        <v>38</v>
      </c>
      <c r="E66" s="10" t="s">
        <v>38</v>
      </c>
      <c r="F66" s="33">
        <f t="shared" ref="F66:R66" si="23">F22*5%</f>
        <v>1.2000000000000002</v>
      </c>
      <c r="G66" s="33">
        <f t="shared" si="23"/>
        <v>2.472</v>
      </c>
      <c r="H66" s="33">
        <f t="shared" si="23"/>
        <v>3.819</v>
      </c>
      <c r="I66" s="33">
        <f t="shared" si="23"/>
        <v>5.2448000000000015</v>
      </c>
      <c r="J66" s="33">
        <f t="shared" si="23"/>
        <v>6.7530000000000001</v>
      </c>
      <c r="K66" s="33">
        <f t="shared" si="23"/>
        <v>8.3472000000000008</v>
      </c>
      <c r="L66" s="33">
        <f t="shared" si="23"/>
        <v>10.029600000000002</v>
      </c>
      <c r="M66" s="33">
        <f t="shared" si="23"/>
        <v>11.806400000000004</v>
      </c>
      <c r="N66" s="33">
        <f t="shared" si="23"/>
        <v>13.681800000000003</v>
      </c>
      <c r="O66" s="33">
        <f t="shared" si="23"/>
        <v>15.658000000000005</v>
      </c>
      <c r="P66" s="33">
        <f t="shared" si="23"/>
        <v>17.738600000000002</v>
      </c>
      <c r="Q66" s="33">
        <f t="shared" si="23"/>
        <v>18.271000000000001</v>
      </c>
      <c r="R66" s="33">
        <f t="shared" si="23"/>
        <v>18.821000000000002</v>
      </c>
      <c r="S66" s="5"/>
    </row>
    <row r="67" spans="1:19" x14ac:dyDescent="0.2">
      <c r="B67" s="3" t="s">
        <v>147</v>
      </c>
      <c r="C67" s="10" t="s">
        <v>38</v>
      </c>
      <c r="D67" s="10" t="s">
        <v>38</v>
      </c>
      <c r="E67" s="10" t="s">
        <v>38</v>
      </c>
      <c r="F67" s="33">
        <f>(F64+F65)-F66</f>
        <v>7.2</v>
      </c>
      <c r="G67" s="33">
        <f t="shared" ref="G67:R67" si="24">(G64+G65)-G66</f>
        <v>14.831999999999999</v>
      </c>
      <c r="H67" s="33">
        <f t="shared" si="24"/>
        <v>22.913999999999998</v>
      </c>
      <c r="I67" s="33">
        <f t="shared" si="24"/>
        <v>31.468800000000005</v>
      </c>
      <c r="J67" s="33">
        <f t="shared" si="24"/>
        <v>40.518000000000001</v>
      </c>
      <c r="K67" s="33">
        <f t="shared" si="24"/>
        <v>50.083200000000005</v>
      </c>
      <c r="L67" s="33">
        <f t="shared" si="24"/>
        <v>60.177599999999998</v>
      </c>
      <c r="M67" s="33">
        <f t="shared" si="24"/>
        <v>70.838400000000007</v>
      </c>
      <c r="N67" s="33">
        <f t="shared" si="24"/>
        <v>82.090800000000002</v>
      </c>
      <c r="O67" s="33">
        <f t="shared" si="24"/>
        <v>93.948000000000022</v>
      </c>
      <c r="P67" s="33">
        <f t="shared" si="24"/>
        <v>106.43159999999999</v>
      </c>
      <c r="Q67" s="33">
        <f t="shared" si="24"/>
        <v>109.626</v>
      </c>
      <c r="R67" s="33">
        <f t="shared" si="24"/>
        <v>112.92600000000002</v>
      </c>
      <c r="S67" s="5"/>
    </row>
    <row r="68" spans="1:19" x14ac:dyDescent="0.2">
      <c r="B68" s="11" t="s">
        <v>160</v>
      </c>
      <c r="C68" s="10" t="s">
        <v>38</v>
      </c>
      <c r="D68" s="10" t="s">
        <v>38</v>
      </c>
      <c r="E68" s="35">
        <f>F67</f>
        <v>7.2</v>
      </c>
      <c r="F68" s="35">
        <f>G67-F67</f>
        <v>7.6319999999999988</v>
      </c>
      <c r="G68" s="35">
        <f>H67-G67</f>
        <v>8.081999999999999</v>
      </c>
      <c r="H68" s="35">
        <f t="shared" ref="H68:Q68" si="25">I67-H67</f>
        <v>8.5548000000000073</v>
      </c>
      <c r="I68" s="35">
        <f t="shared" si="25"/>
        <v>9.0491999999999955</v>
      </c>
      <c r="J68" s="35">
        <f t="shared" si="25"/>
        <v>9.5652000000000044</v>
      </c>
      <c r="K68" s="35">
        <f t="shared" si="25"/>
        <v>10.094399999999993</v>
      </c>
      <c r="L68" s="35">
        <f t="shared" si="25"/>
        <v>10.660800000000009</v>
      </c>
      <c r="M68" s="35">
        <f t="shared" si="25"/>
        <v>11.252399999999994</v>
      </c>
      <c r="N68" s="35">
        <f t="shared" si="25"/>
        <v>11.85720000000002</v>
      </c>
      <c r="O68" s="35">
        <f t="shared" si="25"/>
        <v>12.483599999999967</v>
      </c>
      <c r="P68" s="35">
        <f t="shared" si="25"/>
        <v>3.1944000000000159</v>
      </c>
      <c r="Q68" s="35">
        <f t="shared" si="25"/>
        <v>3.3000000000000114</v>
      </c>
      <c r="R68" s="45">
        <f>R67-Q67</f>
        <v>3.3000000000000114</v>
      </c>
      <c r="S68" s="5"/>
    </row>
    <row r="69" spans="1:19" x14ac:dyDescent="0.2">
      <c r="S69" s="5"/>
    </row>
    <row r="70" spans="1:19" x14ac:dyDescent="0.2">
      <c r="A70" s="7" t="s">
        <v>153</v>
      </c>
      <c r="B70" s="5" t="s">
        <v>149</v>
      </c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</row>
    <row r="71" spans="1:19" x14ac:dyDescent="0.2">
      <c r="B71" s="10" t="s">
        <v>115</v>
      </c>
      <c r="C71" s="31">
        <v>0</v>
      </c>
      <c r="D71" s="31">
        <v>1</v>
      </c>
      <c r="E71" s="31">
        <v>2</v>
      </c>
      <c r="F71" s="31">
        <v>3</v>
      </c>
      <c r="G71" s="31">
        <v>4</v>
      </c>
      <c r="H71" s="31">
        <v>5</v>
      </c>
      <c r="I71" s="31">
        <v>6</v>
      </c>
      <c r="J71" s="31">
        <v>7</v>
      </c>
      <c r="K71" s="31">
        <v>8</v>
      </c>
      <c r="L71" s="31">
        <v>9</v>
      </c>
      <c r="M71" s="31">
        <v>10</v>
      </c>
      <c r="N71" s="31">
        <v>11</v>
      </c>
      <c r="O71" s="31">
        <v>12</v>
      </c>
      <c r="P71" s="31">
        <v>13</v>
      </c>
      <c r="Q71" s="31">
        <v>14</v>
      </c>
      <c r="R71" s="31">
        <v>15</v>
      </c>
    </row>
    <row r="72" spans="1:19" x14ac:dyDescent="0.2">
      <c r="B72" s="3" t="s">
        <v>150</v>
      </c>
      <c r="C72" s="33">
        <v>200</v>
      </c>
      <c r="D72" s="33">
        <f>C72*(1+C8)</f>
        <v>210</v>
      </c>
      <c r="E72" s="33">
        <f>D72*(1+C8)</f>
        <v>220.5</v>
      </c>
      <c r="F72" s="33">
        <f>E72*(1+C8)</f>
        <v>231.52500000000001</v>
      </c>
      <c r="G72" s="33">
        <f>F72*(1+C8)</f>
        <v>243.10125000000002</v>
      </c>
      <c r="H72" s="33">
        <f>G72*(1+C8)</f>
        <v>255.25631250000004</v>
      </c>
      <c r="I72" s="33">
        <f>H72*(1+C8)</f>
        <v>268.01912812500007</v>
      </c>
      <c r="J72" s="33">
        <f>I72*(1+C8)</f>
        <v>281.4200845312501</v>
      </c>
      <c r="K72" s="33">
        <f>J72*(1+C8)</f>
        <v>295.49108875781263</v>
      </c>
      <c r="L72" s="33">
        <f>K72*(1+C8)</f>
        <v>310.26564319570326</v>
      </c>
      <c r="M72" s="33">
        <f>L72*(1+C8)</f>
        <v>325.77892535548841</v>
      </c>
      <c r="N72" s="33">
        <f>M72*(1+C8)</f>
        <v>342.06787162326287</v>
      </c>
      <c r="O72" s="33">
        <f>N72*(1+C8)</f>
        <v>359.17126520442605</v>
      </c>
      <c r="P72" s="33">
        <f>O72*(1+C8)</f>
        <v>377.12982846464735</v>
      </c>
      <c r="Q72" s="33">
        <f>P72*(1+C8)</f>
        <v>395.98631988787974</v>
      </c>
      <c r="R72" s="33">
        <f>Q72*(1+C8)</f>
        <v>415.78563588227377</v>
      </c>
    </row>
    <row r="73" spans="1:19" x14ac:dyDescent="0.2">
      <c r="B73" s="3" t="s">
        <v>151</v>
      </c>
      <c r="C73" s="33" t="s">
        <v>38</v>
      </c>
      <c r="D73" s="33" t="s">
        <v>38</v>
      </c>
      <c r="E73" s="33" t="s">
        <v>38</v>
      </c>
      <c r="F73" s="33">
        <f>F72*C8</f>
        <v>11.576250000000002</v>
      </c>
      <c r="G73" s="33">
        <f>G72*C8</f>
        <v>12.155062500000001</v>
      </c>
      <c r="H73" s="33">
        <f>H72*C8</f>
        <v>12.762815625000002</v>
      </c>
      <c r="I73" s="33">
        <f>I72*C8</f>
        <v>13.400956406250003</v>
      </c>
      <c r="J73" s="33">
        <f>J72*C8</f>
        <v>14.071004226562506</v>
      </c>
      <c r="K73" s="33">
        <f>K72*C8</f>
        <v>14.774554437890632</v>
      </c>
      <c r="L73" s="33">
        <f>L72*C8</f>
        <v>15.513282159785163</v>
      </c>
      <c r="M73" s="33">
        <f>M72*C8</f>
        <v>16.288946267774421</v>
      </c>
      <c r="N73" s="33">
        <f>N72*C8</f>
        <v>17.103393581163143</v>
      </c>
      <c r="O73" s="33">
        <f>O72*C8</f>
        <v>17.958563260221304</v>
      </c>
      <c r="P73" s="33">
        <f>P72*C8</f>
        <v>18.856491423232367</v>
      </c>
      <c r="Q73" s="33">
        <f>Q72*C8</f>
        <v>19.799315994393989</v>
      </c>
      <c r="R73" s="33">
        <f>R72*C8</f>
        <v>20.789281794113691</v>
      </c>
    </row>
    <row r="74" spans="1:19" x14ac:dyDescent="0.2">
      <c r="B74" s="3" t="s">
        <v>152</v>
      </c>
      <c r="C74" s="33" t="s">
        <v>38</v>
      </c>
      <c r="D74" s="33" t="s">
        <v>38</v>
      </c>
      <c r="E74" s="33" t="s">
        <v>38</v>
      </c>
      <c r="F74" s="33">
        <v>50</v>
      </c>
      <c r="G74" s="33">
        <f>F74*(1+C10)</f>
        <v>55.000000000000007</v>
      </c>
      <c r="H74" s="33">
        <f>G74*(1+C10)</f>
        <v>60.500000000000014</v>
      </c>
      <c r="I74" s="33">
        <f>H74*(1+C10)</f>
        <v>66.550000000000026</v>
      </c>
      <c r="J74" s="33">
        <f>I74*(1+C10)</f>
        <v>73.205000000000041</v>
      </c>
      <c r="K74" s="33">
        <f>J74*(1+C10)</f>
        <v>80.525500000000051</v>
      </c>
      <c r="L74" s="33">
        <f>K74*(1+C10)</f>
        <v>88.578050000000061</v>
      </c>
      <c r="M74" s="33">
        <f>L74*(1+C10)</f>
        <v>97.435855000000075</v>
      </c>
      <c r="N74" s="33">
        <f>M74*(1+C10)</f>
        <v>107.1794405000001</v>
      </c>
      <c r="O74" s="33">
        <f>N74*(1+C10)</f>
        <v>117.89738455000011</v>
      </c>
      <c r="P74" s="33">
        <f>O74*(1+C10)</f>
        <v>129.68712300500013</v>
      </c>
      <c r="Q74" s="33">
        <f>P74*1.03</f>
        <v>133.57773669515015</v>
      </c>
      <c r="R74" s="33">
        <f>Q74*1.03</f>
        <v>137.58506879600466</v>
      </c>
    </row>
    <row r="75" spans="1:19" x14ac:dyDescent="0.2">
      <c r="B75" s="11" t="s">
        <v>161</v>
      </c>
      <c r="C75" s="33" t="s">
        <v>38</v>
      </c>
      <c r="D75" s="33" t="s">
        <v>38</v>
      </c>
      <c r="E75" s="33" t="s">
        <v>38</v>
      </c>
      <c r="F75" s="35">
        <f>F73+F74</f>
        <v>61.576250000000002</v>
      </c>
      <c r="G75" s="35">
        <f t="shared" ref="G75:R75" si="26">G73+G74</f>
        <v>67.155062500000014</v>
      </c>
      <c r="H75" s="35">
        <f t="shared" si="26"/>
        <v>73.262815625000016</v>
      </c>
      <c r="I75" s="35">
        <f t="shared" si="26"/>
        <v>79.950956406250029</v>
      </c>
      <c r="J75" s="35">
        <f t="shared" si="26"/>
        <v>87.276004226562549</v>
      </c>
      <c r="K75" s="35">
        <f t="shared" si="26"/>
        <v>95.30005443789068</v>
      </c>
      <c r="L75" s="35">
        <f t="shared" si="26"/>
        <v>104.09133215978522</v>
      </c>
      <c r="M75" s="35">
        <f t="shared" si="26"/>
        <v>113.7248012677745</v>
      </c>
      <c r="N75" s="35">
        <f t="shared" si="26"/>
        <v>124.28283408116324</v>
      </c>
      <c r="O75" s="35">
        <f t="shared" si="26"/>
        <v>135.85594781022141</v>
      </c>
      <c r="P75" s="35">
        <f t="shared" si="26"/>
        <v>148.5436144282325</v>
      </c>
      <c r="Q75" s="35">
        <f t="shared" si="26"/>
        <v>153.37705268954414</v>
      </c>
      <c r="R75" s="35">
        <f t="shared" si="26"/>
        <v>158.37435059011835</v>
      </c>
    </row>
    <row r="77" spans="1:19" x14ac:dyDescent="0.2">
      <c r="A77" s="7" t="s">
        <v>162</v>
      </c>
      <c r="B77" s="5" t="s">
        <v>154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</row>
    <row r="78" spans="1:19" x14ac:dyDescent="0.2">
      <c r="B78" s="10" t="s">
        <v>115</v>
      </c>
      <c r="C78" s="31">
        <v>0</v>
      </c>
      <c r="D78" s="31">
        <v>1</v>
      </c>
      <c r="E78" s="31">
        <v>2</v>
      </c>
      <c r="F78" s="31">
        <v>3</v>
      </c>
      <c r="G78" s="31">
        <v>4</v>
      </c>
      <c r="H78" s="31">
        <v>5</v>
      </c>
      <c r="I78" s="31">
        <v>6</v>
      </c>
      <c r="J78" s="31">
        <v>7</v>
      </c>
      <c r="K78" s="31">
        <v>8</v>
      </c>
      <c r="L78" s="31">
        <v>9</v>
      </c>
      <c r="M78" s="31">
        <v>10</v>
      </c>
      <c r="N78" s="31">
        <v>11</v>
      </c>
      <c r="O78" s="31">
        <v>12</v>
      </c>
      <c r="P78" s="31">
        <v>13</v>
      </c>
      <c r="Q78" s="31">
        <v>14</v>
      </c>
      <c r="R78" s="31">
        <v>15</v>
      </c>
    </row>
    <row r="79" spans="1:19" x14ac:dyDescent="0.2">
      <c r="B79" s="3" t="s">
        <v>155</v>
      </c>
      <c r="C79" s="33">
        <v>150</v>
      </c>
      <c r="D79" s="33">
        <f>C79*(1+C4)</f>
        <v>154.5</v>
      </c>
      <c r="E79" s="33">
        <f>D79*(1+C4)</f>
        <v>159.13499999999999</v>
      </c>
      <c r="F79" s="33">
        <f>E79*(1+C4)</f>
        <v>163.90905000000001</v>
      </c>
      <c r="G79" s="33">
        <f>F79*(1+C4)</f>
        <v>168.82632150000001</v>
      </c>
      <c r="H79" s="33">
        <f>G79*(1+C4)</f>
        <v>173.891111145</v>
      </c>
      <c r="I79" s="33">
        <f>H79*(1+C4)</f>
        <v>179.10784447935001</v>
      </c>
      <c r="J79" s="33">
        <f>I79*(1+C4)</f>
        <v>184.4810798137305</v>
      </c>
      <c r="K79" s="33">
        <f>J79*(1+C4)</f>
        <v>190.01551220814241</v>
      </c>
      <c r="L79" s="33">
        <f>K79*(1+C4)</f>
        <v>195.7159775743867</v>
      </c>
      <c r="M79" s="33">
        <f>L79*(1+C4)</f>
        <v>201.58745690161831</v>
      </c>
      <c r="N79" s="33">
        <f>M79*(1+C4)</f>
        <v>207.63508060866687</v>
      </c>
      <c r="O79" s="33">
        <f>N79*(1+C4)</f>
        <v>213.86413302692688</v>
      </c>
      <c r="P79" s="33">
        <f>O79*(1+C4)</f>
        <v>220.28005701773469</v>
      </c>
      <c r="Q79" s="33">
        <f>P79*(1+C4)</f>
        <v>226.88845872826673</v>
      </c>
      <c r="R79" s="33">
        <f>Q79*(1+C4)</f>
        <v>233.69511249011472</v>
      </c>
    </row>
    <row r="80" spans="1:19" x14ac:dyDescent="0.2">
      <c r="B80" s="3" t="s">
        <v>156</v>
      </c>
      <c r="C80" s="33" t="s">
        <v>38</v>
      </c>
      <c r="D80" s="33" t="s">
        <v>38</v>
      </c>
      <c r="E80" s="33" t="s">
        <v>38</v>
      </c>
      <c r="F80" s="33">
        <f>F79*1.15</f>
        <v>188.4954075</v>
      </c>
      <c r="G80" s="33">
        <f t="shared" ref="G80:R80" si="27">G79*1.15</f>
        <v>194.15026972499999</v>
      </c>
      <c r="H80" s="33">
        <f t="shared" si="27"/>
        <v>199.97477781674999</v>
      </c>
      <c r="I80" s="33">
        <f t="shared" si="27"/>
        <v>205.97402115125249</v>
      </c>
      <c r="J80" s="33">
        <f t="shared" si="27"/>
        <v>212.15324178579007</v>
      </c>
      <c r="K80" s="33">
        <f t="shared" si="27"/>
        <v>218.51783903936376</v>
      </c>
      <c r="L80" s="33">
        <f t="shared" si="27"/>
        <v>225.0733742105447</v>
      </c>
      <c r="M80" s="33">
        <f t="shared" si="27"/>
        <v>231.82557543686104</v>
      </c>
      <c r="N80" s="33">
        <f t="shared" si="27"/>
        <v>238.78034269996689</v>
      </c>
      <c r="O80" s="33">
        <f t="shared" si="27"/>
        <v>245.94375298096588</v>
      </c>
      <c r="P80" s="33">
        <f t="shared" si="27"/>
        <v>253.32206557039487</v>
      </c>
      <c r="Q80" s="33">
        <f t="shared" si="27"/>
        <v>260.92172753750674</v>
      </c>
      <c r="R80" s="33">
        <f t="shared" si="27"/>
        <v>268.74937936363193</v>
      </c>
    </row>
    <row r="81" spans="1:19" x14ac:dyDescent="0.2">
      <c r="B81" s="11" t="s">
        <v>157</v>
      </c>
      <c r="C81" s="35" t="s">
        <v>38</v>
      </c>
      <c r="D81" s="35" t="s">
        <v>38</v>
      </c>
      <c r="E81" s="35" t="s">
        <v>38</v>
      </c>
      <c r="F81" s="35">
        <f>F80-F79</f>
        <v>24.586357499999991</v>
      </c>
      <c r="G81" s="35">
        <f t="shared" ref="G81:R81" si="28">G80-G79</f>
        <v>25.323948224999981</v>
      </c>
      <c r="H81" s="35">
        <f t="shared" si="28"/>
        <v>26.083666671749995</v>
      </c>
      <c r="I81" s="35">
        <f t="shared" si="28"/>
        <v>26.86617667190248</v>
      </c>
      <c r="J81" s="35">
        <f t="shared" si="28"/>
        <v>27.67216197205957</v>
      </c>
      <c r="K81" s="35">
        <f t="shared" si="28"/>
        <v>28.502326831221353</v>
      </c>
      <c r="L81" s="35">
        <f t="shared" si="28"/>
        <v>29.357396636158001</v>
      </c>
      <c r="M81" s="35">
        <f t="shared" si="28"/>
        <v>30.238118535242734</v>
      </c>
      <c r="N81" s="35">
        <f t="shared" si="28"/>
        <v>31.145262091300026</v>
      </c>
      <c r="O81" s="35">
        <f t="shared" si="28"/>
        <v>32.079619954039003</v>
      </c>
      <c r="P81" s="35">
        <f t="shared" si="28"/>
        <v>33.042008552660178</v>
      </c>
      <c r="Q81" s="35">
        <f t="shared" si="28"/>
        <v>34.033268809240013</v>
      </c>
      <c r="R81" s="35">
        <f t="shared" si="28"/>
        <v>35.054266873517207</v>
      </c>
    </row>
    <row r="82" spans="1:19" x14ac:dyDescent="0.2">
      <c r="B82" s="5"/>
      <c r="C82" s="49"/>
      <c r="D82" s="49"/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</row>
    <row r="83" spans="1:19" x14ac:dyDescent="0.2">
      <c r="A83" s="7" t="s">
        <v>170</v>
      </c>
      <c r="B83" s="5" t="s">
        <v>120</v>
      </c>
      <c r="C83" s="49"/>
      <c r="D83" s="49"/>
      <c r="E83" s="49"/>
      <c r="F83" s="49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</row>
    <row r="84" spans="1:19" x14ac:dyDescent="0.2">
      <c r="B84" s="16" t="s">
        <v>172</v>
      </c>
      <c r="C84" s="45">
        <f>R67</f>
        <v>112.92600000000002</v>
      </c>
      <c r="D84" s="49"/>
      <c r="E84" s="49"/>
      <c r="F84" s="49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</row>
    <row r="85" spans="1:19" x14ac:dyDescent="0.2">
      <c r="B85" s="3" t="s">
        <v>171</v>
      </c>
      <c r="C85" s="28">
        <v>344.75</v>
      </c>
    </row>
    <row r="86" spans="1:19" x14ac:dyDescent="0.2">
      <c r="B86" s="11" t="s">
        <v>120</v>
      </c>
      <c r="C86" s="35">
        <f>SUM(C84:C85)</f>
        <v>457.67600000000004</v>
      </c>
    </row>
    <row r="88" spans="1:19" x14ac:dyDescent="0.2">
      <c r="B88" s="119"/>
      <c r="C88" s="119"/>
      <c r="D88" s="119"/>
      <c r="E88" s="119"/>
      <c r="F88" s="119"/>
      <c r="G88" s="119"/>
      <c r="H88" s="119"/>
      <c r="I88" s="119"/>
      <c r="J88" s="119"/>
      <c r="K88" s="119"/>
      <c r="L88" s="119"/>
      <c r="M88" s="119"/>
      <c r="N88" s="119"/>
      <c r="O88" s="119"/>
      <c r="P88" s="119"/>
      <c r="Q88" s="119"/>
      <c r="R88" s="119"/>
    </row>
    <row r="89" spans="1:19" ht="26" x14ac:dyDescent="0.3">
      <c r="B89" s="141" t="s">
        <v>165</v>
      </c>
      <c r="C89" s="141"/>
      <c r="D89" s="141"/>
      <c r="E89" s="141"/>
      <c r="F89" s="141"/>
      <c r="G89" s="141"/>
      <c r="H89" s="141"/>
      <c r="I89" s="141"/>
      <c r="J89" s="141"/>
      <c r="K89" s="141"/>
      <c r="L89" s="141"/>
      <c r="M89" s="141"/>
      <c r="N89" s="141"/>
      <c r="O89" s="141"/>
      <c r="P89" s="141"/>
      <c r="Q89" s="141"/>
      <c r="R89" s="141"/>
    </row>
    <row r="90" spans="1:19" x14ac:dyDescent="0.2">
      <c r="B90" s="128"/>
      <c r="C90" s="128"/>
      <c r="D90" s="128"/>
      <c r="E90" s="128"/>
      <c r="F90" s="128"/>
      <c r="G90" s="128"/>
      <c r="H90" s="128"/>
      <c r="I90" s="128"/>
      <c r="J90" s="128"/>
      <c r="K90" s="128"/>
      <c r="L90" s="128"/>
      <c r="M90" s="128"/>
      <c r="N90" s="128"/>
      <c r="O90" s="128"/>
      <c r="P90" s="128"/>
      <c r="Q90" s="128"/>
      <c r="R90" s="128"/>
    </row>
    <row r="91" spans="1:19" x14ac:dyDescent="0.2">
      <c r="A91" s="7" t="s">
        <v>0</v>
      </c>
      <c r="B91" s="5" t="s">
        <v>77</v>
      </c>
    </row>
    <row r="92" spans="1:19" x14ac:dyDescent="0.2">
      <c r="B92" s="10" t="s">
        <v>115</v>
      </c>
      <c r="C92" s="31">
        <v>0</v>
      </c>
      <c r="D92" s="31">
        <v>1</v>
      </c>
      <c r="E92" s="31">
        <v>2</v>
      </c>
      <c r="F92" s="31">
        <v>3</v>
      </c>
      <c r="G92" s="31">
        <v>4</v>
      </c>
      <c r="H92" s="31">
        <v>5</v>
      </c>
      <c r="I92" s="31">
        <v>6</v>
      </c>
      <c r="J92" s="31">
        <v>7</v>
      </c>
      <c r="K92" s="31">
        <v>8</v>
      </c>
      <c r="L92" s="31">
        <v>9</v>
      </c>
      <c r="M92" s="31">
        <v>10</v>
      </c>
      <c r="N92" s="31">
        <v>11</v>
      </c>
      <c r="O92" s="31">
        <v>12</v>
      </c>
      <c r="P92" s="31">
        <v>13</v>
      </c>
      <c r="Q92" s="31">
        <v>14</v>
      </c>
      <c r="R92" s="31">
        <v>15</v>
      </c>
      <c r="S92" s="31">
        <v>16</v>
      </c>
    </row>
    <row r="93" spans="1:19" x14ac:dyDescent="0.2">
      <c r="B93" s="3" t="s">
        <v>116</v>
      </c>
      <c r="C93" s="33" t="s">
        <v>38</v>
      </c>
      <c r="D93" s="33" t="s">
        <v>38</v>
      </c>
      <c r="E93" s="33" t="s">
        <v>38</v>
      </c>
      <c r="F93" s="33">
        <v>1</v>
      </c>
      <c r="G93" s="33">
        <v>2</v>
      </c>
      <c r="H93" s="33">
        <v>3</v>
      </c>
      <c r="I93" s="33">
        <v>4</v>
      </c>
      <c r="J93" s="33">
        <v>5</v>
      </c>
      <c r="K93" s="33">
        <v>6</v>
      </c>
      <c r="L93" s="33">
        <v>7</v>
      </c>
      <c r="M93" s="33">
        <v>8</v>
      </c>
      <c r="N93" s="33">
        <v>9</v>
      </c>
      <c r="O93" s="33">
        <v>10</v>
      </c>
      <c r="P93" s="33">
        <v>11</v>
      </c>
      <c r="Q93" s="33">
        <v>11</v>
      </c>
      <c r="R93" s="33">
        <v>11</v>
      </c>
      <c r="S93" s="33">
        <v>11</v>
      </c>
    </row>
    <row r="94" spans="1:19" x14ac:dyDescent="0.2">
      <c r="B94" s="3" t="s">
        <v>117</v>
      </c>
      <c r="C94" s="33" t="s">
        <v>38</v>
      </c>
      <c r="D94" s="33" t="s">
        <v>38</v>
      </c>
      <c r="E94" s="33" t="s">
        <v>38</v>
      </c>
      <c r="F94" s="33">
        <v>60</v>
      </c>
      <c r="G94" s="33">
        <v>61.8</v>
      </c>
      <c r="H94" s="33">
        <v>63.65</v>
      </c>
      <c r="I94" s="33">
        <v>65.56</v>
      </c>
      <c r="J94" s="33">
        <v>67.53</v>
      </c>
      <c r="K94" s="33">
        <v>69.56</v>
      </c>
      <c r="L94" s="33">
        <v>71.64</v>
      </c>
      <c r="M94" s="33">
        <v>73.790000000000006</v>
      </c>
      <c r="N94" s="33">
        <v>76.010000000000005</v>
      </c>
      <c r="O94" s="33">
        <v>78.290000000000006</v>
      </c>
      <c r="P94" s="33">
        <v>80.63</v>
      </c>
      <c r="Q94" s="33">
        <v>83.05</v>
      </c>
      <c r="R94" s="33">
        <v>85.55</v>
      </c>
      <c r="S94" s="33">
        <f>R94*1.03</f>
        <v>88.116500000000002</v>
      </c>
    </row>
    <row r="95" spans="1:19" x14ac:dyDescent="0.2">
      <c r="B95" s="11" t="s">
        <v>158</v>
      </c>
      <c r="C95" s="33" t="s">
        <v>38</v>
      </c>
      <c r="D95" s="33" t="s">
        <v>38</v>
      </c>
      <c r="E95" s="33" t="s">
        <v>38</v>
      </c>
      <c r="F95" s="35">
        <f>F93*F94</f>
        <v>60</v>
      </c>
      <c r="G95" s="35">
        <f>G93*G94</f>
        <v>123.6</v>
      </c>
      <c r="H95" s="35">
        <f t="shared" ref="H95:R95" si="29">H93*H94</f>
        <v>190.95</v>
      </c>
      <c r="I95" s="35">
        <f t="shared" si="29"/>
        <v>262.24</v>
      </c>
      <c r="J95" s="35">
        <f t="shared" si="29"/>
        <v>337.65</v>
      </c>
      <c r="K95" s="35">
        <f t="shared" si="29"/>
        <v>417.36</v>
      </c>
      <c r="L95" s="35">
        <f t="shared" si="29"/>
        <v>501.48</v>
      </c>
      <c r="M95" s="35">
        <f t="shared" si="29"/>
        <v>590.32000000000005</v>
      </c>
      <c r="N95" s="35">
        <f t="shared" si="29"/>
        <v>684.09</v>
      </c>
      <c r="O95" s="35">
        <f t="shared" si="29"/>
        <v>782.90000000000009</v>
      </c>
      <c r="P95" s="35">
        <f t="shared" si="29"/>
        <v>886.93</v>
      </c>
      <c r="Q95" s="35">
        <f t="shared" si="29"/>
        <v>913.55</v>
      </c>
      <c r="R95" s="35">
        <f t="shared" si="29"/>
        <v>941.05</v>
      </c>
      <c r="S95" s="35">
        <f>S93*S94</f>
        <v>969.28150000000005</v>
      </c>
    </row>
    <row r="96" spans="1:19" x14ac:dyDescent="0.2">
      <c r="B96" s="11" t="s">
        <v>159</v>
      </c>
      <c r="C96" s="20" t="s">
        <v>38</v>
      </c>
      <c r="D96" s="20" t="s">
        <v>38</v>
      </c>
      <c r="E96" s="20" t="s">
        <v>38</v>
      </c>
      <c r="F96" s="35">
        <f>F95*40%</f>
        <v>24</v>
      </c>
      <c r="G96" s="35">
        <f t="shared" ref="G96:R96" si="30">G95*40%</f>
        <v>49.44</v>
      </c>
      <c r="H96" s="35">
        <f t="shared" si="30"/>
        <v>76.38</v>
      </c>
      <c r="I96" s="35">
        <f t="shared" si="30"/>
        <v>104.89600000000002</v>
      </c>
      <c r="J96" s="35">
        <f t="shared" si="30"/>
        <v>135.06</v>
      </c>
      <c r="K96" s="35">
        <f t="shared" si="30"/>
        <v>166.94400000000002</v>
      </c>
      <c r="L96" s="35">
        <f t="shared" si="30"/>
        <v>200.59200000000001</v>
      </c>
      <c r="M96" s="35">
        <f t="shared" si="30"/>
        <v>236.12800000000004</v>
      </c>
      <c r="N96" s="35">
        <f t="shared" si="30"/>
        <v>273.63600000000002</v>
      </c>
      <c r="O96" s="35">
        <f t="shared" si="30"/>
        <v>313.16000000000008</v>
      </c>
      <c r="P96" s="35">
        <f t="shared" si="30"/>
        <v>354.77199999999999</v>
      </c>
      <c r="Q96" s="35">
        <f t="shared" si="30"/>
        <v>365.42</v>
      </c>
      <c r="R96" s="35">
        <f t="shared" si="30"/>
        <v>376.42</v>
      </c>
      <c r="S96" s="35">
        <f>S95*40%</f>
        <v>387.71260000000007</v>
      </c>
    </row>
    <row r="98" spans="1:42" x14ac:dyDescent="0.2">
      <c r="A98" s="7" t="s">
        <v>21</v>
      </c>
      <c r="B98" s="5" t="s">
        <v>168</v>
      </c>
    </row>
    <row r="99" spans="1:42" x14ac:dyDescent="0.2">
      <c r="B99" s="38" t="s">
        <v>115</v>
      </c>
      <c r="C99" s="39">
        <v>0</v>
      </c>
      <c r="D99" s="39">
        <v>1</v>
      </c>
      <c r="E99" s="39">
        <v>2</v>
      </c>
      <c r="F99" s="39">
        <v>3</v>
      </c>
      <c r="G99" s="39">
        <v>4</v>
      </c>
      <c r="H99" s="39">
        <v>5</v>
      </c>
      <c r="I99" s="39">
        <v>6</v>
      </c>
      <c r="J99" s="39">
        <v>7</v>
      </c>
      <c r="K99" s="39">
        <v>8</v>
      </c>
      <c r="L99" s="39">
        <v>9</v>
      </c>
      <c r="M99" s="39">
        <v>10</v>
      </c>
      <c r="N99" s="39">
        <v>11</v>
      </c>
      <c r="O99" s="39">
        <v>12</v>
      </c>
      <c r="P99" s="39">
        <v>13</v>
      </c>
      <c r="Q99" s="39">
        <v>14</v>
      </c>
      <c r="R99" s="39">
        <v>15</v>
      </c>
      <c r="S99" s="28">
        <v>16</v>
      </c>
    </row>
    <row r="100" spans="1:42" x14ac:dyDescent="0.2">
      <c r="B100" s="3" t="s">
        <v>122</v>
      </c>
      <c r="C100" s="33">
        <v>250</v>
      </c>
      <c r="D100" s="31" t="s">
        <v>38</v>
      </c>
      <c r="E100" s="31" t="s">
        <v>38</v>
      </c>
      <c r="F100" s="31" t="s">
        <v>38</v>
      </c>
      <c r="G100" s="31" t="s">
        <v>38</v>
      </c>
      <c r="H100" s="31" t="s">
        <v>38</v>
      </c>
      <c r="I100" s="31" t="s">
        <v>38</v>
      </c>
      <c r="J100" s="31" t="s">
        <v>38</v>
      </c>
      <c r="K100" s="31" t="s">
        <v>38</v>
      </c>
      <c r="L100" s="31" t="s">
        <v>38</v>
      </c>
      <c r="M100" s="31" t="s">
        <v>38</v>
      </c>
      <c r="N100" s="31" t="s">
        <v>38</v>
      </c>
      <c r="O100" s="31" t="s">
        <v>38</v>
      </c>
      <c r="P100" s="31" t="s">
        <v>38</v>
      </c>
      <c r="Q100" s="31" t="s">
        <v>38</v>
      </c>
      <c r="R100" s="31" t="s">
        <v>38</v>
      </c>
      <c r="S100" s="31" t="s">
        <v>38</v>
      </c>
    </row>
    <row r="101" spans="1:42" x14ac:dyDescent="0.2">
      <c r="B101" s="3" t="s">
        <v>123</v>
      </c>
      <c r="C101" s="31" t="s">
        <v>38</v>
      </c>
      <c r="D101" s="31" t="s">
        <v>38</v>
      </c>
      <c r="E101" s="31" t="s">
        <v>38</v>
      </c>
      <c r="F101" s="34">
        <v>100</v>
      </c>
      <c r="G101" s="33">
        <f>F101*(1+C4)</f>
        <v>103</v>
      </c>
      <c r="H101" s="33">
        <f>G101*(1+C4)</f>
        <v>106.09</v>
      </c>
      <c r="I101" s="33">
        <f>H101*(1+C4)</f>
        <v>109.2727</v>
      </c>
      <c r="J101" s="33">
        <f>I101*(1+C4)</f>
        <v>112.550881</v>
      </c>
      <c r="K101" s="33">
        <f>J101*(1+C4)</f>
        <v>115.92740743</v>
      </c>
      <c r="L101" s="33">
        <f>K101*(1+C4)</f>
        <v>119.4052296529</v>
      </c>
      <c r="M101" s="33">
        <f>L101*(1+C4)</f>
        <v>122.987386542487</v>
      </c>
      <c r="N101" s="33">
        <f>M101*(1+C4)</f>
        <v>126.67700813876162</v>
      </c>
      <c r="O101" s="33">
        <f>N101*(1+C4)</f>
        <v>130.47731838292447</v>
      </c>
      <c r="P101" s="33" t="s">
        <v>38</v>
      </c>
      <c r="Q101" s="31" t="s">
        <v>38</v>
      </c>
      <c r="R101" s="31" t="s">
        <v>38</v>
      </c>
      <c r="S101" s="31" t="s">
        <v>38</v>
      </c>
    </row>
    <row r="102" spans="1:42" x14ac:dyDescent="0.2">
      <c r="B102" s="11" t="s">
        <v>166</v>
      </c>
      <c r="C102" s="31" t="s">
        <v>38</v>
      </c>
      <c r="D102" s="31" t="s">
        <v>38</v>
      </c>
      <c r="E102" s="31" t="s">
        <v>38</v>
      </c>
      <c r="F102" s="35">
        <f t="shared" ref="F102:S102" si="31">F126</f>
        <v>27.318175</v>
      </c>
      <c r="G102" s="35">
        <f t="shared" si="31"/>
        <v>39.392808349999996</v>
      </c>
      <c r="H102" s="35">
        <f t="shared" si="31"/>
        <v>78.610374978282991</v>
      </c>
      <c r="I102" s="35">
        <f t="shared" si="31"/>
        <v>93.636387041507646</v>
      </c>
      <c r="J102" s="35">
        <f t="shared" si="31"/>
        <v>109.88587232005952</v>
      </c>
      <c r="K102" s="35">
        <f t="shared" si="31"/>
        <v>127.44351564044527</v>
      </c>
      <c r="L102" s="35">
        <f t="shared" si="31"/>
        <v>146.39912727361141</v>
      </c>
      <c r="M102" s="35">
        <f t="shared" si="31"/>
        <v>166.83448215339837</v>
      </c>
      <c r="N102" s="35">
        <f t="shared" si="31"/>
        <v>188.86312332413172</v>
      </c>
      <c r="O102" s="35">
        <f t="shared" si="31"/>
        <v>173.12686640008454</v>
      </c>
      <c r="P102" s="35">
        <f t="shared" si="31"/>
        <v>160.77174007674211</v>
      </c>
      <c r="Q102" s="35">
        <f t="shared" si="31"/>
        <v>150.47242582858644</v>
      </c>
      <c r="R102" s="35">
        <f t="shared" si="31"/>
        <v>138.93953421245615</v>
      </c>
      <c r="S102" s="35">
        <f t="shared" si="31"/>
        <v>147.40095184599471</v>
      </c>
    </row>
    <row r="104" spans="1:42" x14ac:dyDescent="0.2">
      <c r="A104" s="7" t="s">
        <v>39</v>
      </c>
      <c r="B104" s="5" t="s">
        <v>124</v>
      </c>
    </row>
    <row r="105" spans="1:42" x14ac:dyDescent="0.2">
      <c r="B105" s="38" t="s">
        <v>115</v>
      </c>
      <c r="C105" s="39">
        <v>0</v>
      </c>
      <c r="D105" s="39">
        <v>1</v>
      </c>
      <c r="E105" s="39">
        <v>2</v>
      </c>
      <c r="F105" s="37">
        <v>3</v>
      </c>
      <c r="G105" s="39">
        <v>4</v>
      </c>
      <c r="H105" s="39">
        <v>5</v>
      </c>
      <c r="I105" s="39">
        <v>6</v>
      </c>
      <c r="J105" s="39">
        <v>7</v>
      </c>
      <c r="K105" s="39">
        <v>8</v>
      </c>
      <c r="L105" s="39">
        <v>9</v>
      </c>
      <c r="M105" s="39">
        <v>10</v>
      </c>
      <c r="N105" s="39">
        <v>11</v>
      </c>
      <c r="O105" s="39">
        <v>12</v>
      </c>
      <c r="P105" s="39">
        <v>13</v>
      </c>
      <c r="Q105" s="39">
        <v>14</v>
      </c>
      <c r="R105" s="39">
        <v>15</v>
      </c>
    </row>
    <row r="106" spans="1:42" x14ac:dyDescent="0.2">
      <c r="B106" s="16" t="s">
        <v>125</v>
      </c>
      <c r="C106" s="36">
        <v>0.6</v>
      </c>
      <c r="D106" s="36">
        <f>C106*(1+C8)</f>
        <v>0.63</v>
      </c>
      <c r="E106" s="36">
        <f>D106*(1+C8)</f>
        <v>0.66150000000000009</v>
      </c>
      <c r="F106" s="36">
        <f>E106*(1+C8)</f>
        <v>0.69457500000000016</v>
      </c>
      <c r="G106" s="36">
        <f>F106*(1+C8)</f>
        <v>0.72930375000000025</v>
      </c>
      <c r="H106" s="36">
        <f>G106*(1+C8)</f>
        <v>0.7657689375000003</v>
      </c>
      <c r="I106" s="36">
        <f>H106*(1+C8)</f>
        <v>0.80405738437500041</v>
      </c>
      <c r="J106" s="36">
        <f>I106*(1+C8)</f>
        <v>0.84426025359375045</v>
      </c>
      <c r="K106" s="36">
        <f>J106*(1+C8)</f>
        <v>0.88647326627343803</v>
      </c>
      <c r="L106" s="36">
        <f>K106*(1+C8)</f>
        <v>0.93079692958711002</v>
      </c>
      <c r="M106" s="36">
        <f>L106*(1+C8)</f>
        <v>0.97733677606646552</v>
      </c>
      <c r="N106" s="36">
        <f>M106*(1+C8)</f>
        <v>1.0262036148697888</v>
      </c>
      <c r="O106" s="36">
        <f>N106*(1+C8)</f>
        <v>1.0775137956132783</v>
      </c>
      <c r="P106" s="36">
        <f>O106*(1+C8)</f>
        <v>1.1313894853939424</v>
      </c>
      <c r="Q106" s="36">
        <f>P106*(1+C8)</f>
        <v>1.1879589596636395</v>
      </c>
      <c r="R106" s="36">
        <f>Q106*(1+C8)</f>
        <v>1.2473569076468216</v>
      </c>
    </row>
    <row r="107" spans="1:42" x14ac:dyDescent="0.2">
      <c r="B107" s="16" t="s">
        <v>126</v>
      </c>
      <c r="C107" s="37" t="s">
        <v>38</v>
      </c>
      <c r="D107" s="37" t="s">
        <v>38</v>
      </c>
      <c r="E107" s="37" t="s">
        <v>38</v>
      </c>
      <c r="F107" s="36">
        <v>0.2</v>
      </c>
      <c r="G107" s="36">
        <f>F107*1+8%</f>
        <v>0.28000000000000003</v>
      </c>
      <c r="H107" s="36">
        <f t="shared" ref="H107" si="32">G107*1+8%</f>
        <v>0.36000000000000004</v>
      </c>
      <c r="I107" s="36">
        <f t="shared" ref="I107" si="33">H107*1+8%</f>
        <v>0.44000000000000006</v>
      </c>
      <c r="J107" s="36">
        <f t="shared" ref="J107" si="34">I107*1+8%</f>
        <v>0.52</v>
      </c>
      <c r="K107" s="36">
        <f t="shared" ref="K107" si="35">J107*1+8%</f>
        <v>0.6</v>
      </c>
      <c r="L107" s="36">
        <f t="shared" ref="L107" si="36">K107*1+8%</f>
        <v>0.67999999999999994</v>
      </c>
      <c r="M107" s="36">
        <f t="shared" ref="M107" si="37">L107*1+8%</f>
        <v>0.7599999999999999</v>
      </c>
      <c r="N107" s="36">
        <f t="shared" ref="N107" si="38">M107*1+8%</f>
        <v>0.83999999999999986</v>
      </c>
      <c r="O107" s="36">
        <f t="shared" ref="O107" si="39">N107*1+8%</f>
        <v>0.91999999999999982</v>
      </c>
      <c r="P107" s="36">
        <f t="shared" ref="P107" si="40">O107*1+8%</f>
        <v>0.99999999999999978</v>
      </c>
      <c r="Q107" s="36">
        <v>1</v>
      </c>
      <c r="R107" s="36">
        <f>Q107</f>
        <v>1</v>
      </c>
    </row>
    <row r="108" spans="1:42" x14ac:dyDescent="0.2">
      <c r="A108" s="1"/>
      <c r="B108" s="3" t="s">
        <v>127</v>
      </c>
      <c r="C108" s="33" t="s">
        <v>38</v>
      </c>
      <c r="D108" s="33" t="s">
        <v>38</v>
      </c>
      <c r="E108" s="33" t="s">
        <v>38</v>
      </c>
      <c r="F108" s="33" t="s">
        <v>38</v>
      </c>
      <c r="G108" s="33">
        <v>225.1</v>
      </c>
      <c r="H108" s="33" t="s">
        <v>38</v>
      </c>
      <c r="I108" s="33" t="s">
        <v>38</v>
      </c>
      <c r="J108" s="33" t="s">
        <v>38</v>
      </c>
      <c r="K108" s="33" t="s">
        <v>38</v>
      </c>
      <c r="L108" s="33" t="s">
        <v>38</v>
      </c>
      <c r="M108" s="33" t="s">
        <v>38</v>
      </c>
      <c r="N108" s="33">
        <v>276.85000000000002</v>
      </c>
      <c r="O108" s="33" t="s">
        <v>38</v>
      </c>
      <c r="P108" s="33" t="s">
        <v>38</v>
      </c>
      <c r="Q108" s="33" t="s">
        <v>38</v>
      </c>
      <c r="R108" s="33" t="s">
        <v>38</v>
      </c>
    </row>
    <row r="109" spans="1:42" s="7" customFormat="1" x14ac:dyDescent="0.2">
      <c r="B109" s="3" t="s">
        <v>174</v>
      </c>
      <c r="C109" s="31" t="s">
        <v>38</v>
      </c>
      <c r="D109" s="31" t="s">
        <v>38</v>
      </c>
      <c r="E109" s="31" t="s">
        <v>38</v>
      </c>
      <c r="F109" s="31" t="s">
        <v>38</v>
      </c>
      <c r="G109" s="31" t="s">
        <v>38</v>
      </c>
      <c r="H109" s="33">
        <f>G108/10</f>
        <v>22.509999999999998</v>
      </c>
      <c r="I109" s="33">
        <f>H109</f>
        <v>22.509999999999998</v>
      </c>
      <c r="J109" s="33">
        <f t="shared" ref="J109" si="41">I109</f>
        <v>22.509999999999998</v>
      </c>
      <c r="K109" s="33">
        <f t="shared" ref="K109" si="42">J109</f>
        <v>22.509999999999998</v>
      </c>
      <c r="L109" s="33">
        <f t="shared" ref="L109" si="43">K109</f>
        <v>22.509999999999998</v>
      </c>
      <c r="M109" s="33">
        <f t="shared" ref="M109" si="44">L109</f>
        <v>22.509999999999998</v>
      </c>
      <c r="N109" s="33">
        <f t="shared" ref="N109" si="45">M109</f>
        <v>22.509999999999998</v>
      </c>
      <c r="O109" s="28">
        <v>-5.17</v>
      </c>
      <c r="P109" s="28">
        <v>-5.17</v>
      </c>
      <c r="Q109" s="28">
        <v>-5.17</v>
      </c>
      <c r="R109" s="33" t="s">
        <v>38</v>
      </c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</row>
    <row r="110" spans="1:42" x14ac:dyDescent="0.2">
      <c r="A110" s="1"/>
    </row>
    <row r="111" spans="1:42" x14ac:dyDescent="0.2">
      <c r="A111" s="1"/>
      <c r="B111" s="5" t="s">
        <v>178</v>
      </c>
    </row>
    <row r="112" spans="1:42" x14ac:dyDescent="0.2">
      <c r="A112" s="1"/>
      <c r="B112" s="38" t="s">
        <v>115</v>
      </c>
      <c r="C112" s="37">
        <v>0</v>
      </c>
      <c r="D112" s="37">
        <v>1</v>
      </c>
      <c r="E112" s="37">
        <v>2</v>
      </c>
      <c r="F112" s="37">
        <v>3</v>
      </c>
      <c r="G112" s="37">
        <v>4</v>
      </c>
      <c r="H112" s="37">
        <v>5</v>
      </c>
      <c r="I112" s="37">
        <v>6</v>
      </c>
      <c r="J112" s="37">
        <v>7</v>
      </c>
      <c r="K112" s="37">
        <v>8</v>
      </c>
      <c r="L112" s="37">
        <v>9</v>
      </c>
      <c r="M112" s="37">
        <v>10</v>
      </c>
      <c r="N112" s="37">
        <v>11</v>
      </c>
      <c r="O112" s="37">
        <v>12</v>
      </c>
      <c r="P112" s="37">
        <v>13</v>
      </c>
      <c r="Q112" s="37">
        <v>14</v>
      </c>
      <c r="R112" s="37">
        <v>15</v>
      </c>
      <c r="S112" s="10" t="s">
        <v>167</v>
      </c>
    </row>
    <row r="113" spans="1:19" x14ac:dyDescent="0.2">
      <c r="A113" s="1"/>
      <c r="B113" s="3" t="s">
        <v>128</v>
      </c>
      <c r="C113" s="31" t="s">
        <v>38</v>
      </c>
      <c r="D113" s="31" t="s">
        <v>38</v>
      </c>
      <c r="E113" s="31" t="s">
        <v>38</v>
      </c>
      <c r="F113" s="33">
        <f>C100/10</f>
        <v>25</v>
      </c>
      <c r="G113" s="33">
        <v>25</v>
      </c>
      <c r="H113" s="33">
        <v>25</v>
      </c>
      <c r="I113" s="33">
        <v>25</v>
      </c>
      <c r="J113" s="33">
        <v>25</v>
      </c>
      <c r="K113" s="33">
        <v>25</v>
      </c>
      <c r="L113" s="33">
        <v>25</v>
      </c>
      <c r="M113" s="33">
        <v>25</v>
      </c>
      <c r="N113" s="33">
        <v>25</v>
      </c>
      <c r="O113" s="33">
        <v>25</v>
      </c>
      <c r="P113" s="33" t="s">
        <v>38</v>
      </c>
      <c r="Q113" s="33" t="s">
        <v>38</v>
      </c>
      <c r="R113" s="33" t="s">
        <v>38</v>
      </c>
      <c r="S113" s="33" t="s">
        <v>38</v>
      </c>
    </row>
    <row r="114" spans="1:19" x14ac:dyDescent="0.2">
      <c r="A114" s="1"/>
      <c r="B114" s="3" t="s">
        <v>129</v>
      </c>
      <c r="C114" s="31" t="s">
        <v>38</v>
      </c>
      <c r="D114" s="31" t="s">
        <v>38</v>
      </c>
      <c r="E114" s="31" t="s">
        <v>38</v>
      </c>
      <c r="F114" s="31" t="s">
        <v>38</v>
      </c>
      <c r="G114" s="33">
        <f>F101/10</f>
        <v>10</v>
      </c>
      <c r="H114" s="33">
        <v>10</v>
      </c>
      <c r="I114" s="33">
        <v>10</v>
      </c>
      <c r="J114" s="33">
        <v>10</v>
      </c>
      <c r="K114" s="33">
        <v>10</v>
      </c>
      <c r="L114" s="33">
        <v>10</v>
      </c>
      <c r="M114" s="33">
        <v>10</v>
      </c>
      <c r="N114" s="33">
        <v>10</v>
      </c>
      <c r="O114" s="33">
        <v>10</v>
      </c>
      <c r="P114" s="33">
        <v>10</v>
      </c>
      <c r="Q114" s="33" t="s">
        <v>38</v>
      </c>
      <c r="R114" s="33" t="s">
        <v>38</v>
      </c>
      <c r="S114" s="33" t="s">
        <v>38</v>
      </c>
    </row>
    <row r="115" spans="1:19" x14ac:dyDescent="0.2">
      <c r="A115" s="1"/>
      <c r="B115" s="3" t="s">
        <v>130</v>
      </c>
      <c r="C115" s="31" t="s">
        <v>38</v>
      </c>
      <c r="D115" s="31" t="s">
        <v>38</v>
      </c>
      <c r="E115" s="31" t="s">
        <v>38</v>
      </c>
      <c r="F115" s="31" t="s">
        <v>38</v>
      </c>
      <c r="G115" s="31" t="s">
        <v>38</v>
      </c>
      <c r="H115" s="33">
        <f>G101/10</f>
        <v>10.3</v>
      </c>
      <c r="I115" s="33">
        <v>10.3</v>
      </c>
      <c r="J115" s="33">
        <v>10.3</v>
      </c>
      <c r="K115" s="33">
        <v>10.3</v>
      </c>
      <c r="L115" s="33">
        <v>10.3</v>
      </c>
      <c r="M115" s="33">
        <v>10.3</v>
      </c>
      <c r="N115" s="33">
        <v>10.3</v>
      </c>
      <c r="O115" s="33">
        <v>10.3</v>
      </c>
      <c r="P115" s="33">
        <v>10.3</v>
      </c>
      <c r="Q115" s="33">
        <v>10.3</v>
      </c>
      <c r="R115" s="33" t="s">
        <v>38</v>
      </c>
      <c r="S115" s="33" t="s">
        <v>38</v>
      </c>
    </row>
    <row r="116" spans="1:19" x14ac:dyDescent="0.2">
      <c r="A116" s="1"/>
      <c r="B116" s="3" t="s">
        <v>131</v>
      </c>
      <c r="C116" s="31" t="s">
        <v>38</v>
      </c>
      <c r="D116" s="31" t="s">
        <v>38</v>
      </c>
      <c r="E116" s="31" t="s">
        <v>38</v>
      </c>
      <c r="F116" s="31" t="s">
        <v>38</v>
      </c>
      <c r="G116" s="31" t="s">
        <v>38</v>
      </c>
      <c r="H116" s="31" t="s">
        <v>38</v>
      </c>
      <c r="I116" s="33">
        <f>H101/10</f>
        <v>10.609</v>
      </c>
      <c r="J116" s="33">
        <v>10.61</v>
      </c>
      <c r="K116" s="33">
        <v>10.61</v>
      </c>
      <c r="L116" s="33">
        <v>10.61</v>
      </c>
      <c r="M116" s="33">
        <v>10.61</v>
      </c>
      <c r="N116" s="33">
        <v>10.61</v>
      </c>
      <c r="O116" s="33">
        <v>10.61</v>
      </c>
      <c r="P116" s="33">
        <v>10.61</v>
      </c>
      <c r="Q116" s="33">
        <v>10.61</v>
      </c>
      <c r="R116" s="33">
        <v>10.61</v>
      </c>
      <c r="S116" s="33" t="s">
        <v>38</v>
      </c>
    </row>
    <row r="117" spans="1:19" x14ac:dyDescent="0.2">
      <c r="A117" s="1"/>
      <c r="B117" s="3" t="s">
        <v>132</v>
      </c>
      <c r="C117" s="31" t="s">
        <v>38</v>
      </c>
      <c r="D117" s="31" t="s">
        <v>38</v>
      </c>
      <c r="E117" s="31" t="s">
        <v>38</v>
      </c>
      <c r="F117" s="31" t="s">
        <v>38</v>
      </c>
      <c r="G117" s="31" t="s">
        <v>38</v>
      </c>
      <c r="H117" s="31" t="s">
        <v>38</v>
      </c>
      <c r="I117" s="31" t="s">
        <v>38</v>
      </c>
      <c r="J117" s="33">
        <f>I101/10</f>
        <v>10.92727</v>
      </c>
      <c r="K117" s="33">
        <v>10.93</v>
      </c>
      <c r="L117" s="33">
        <v>10.93</v>
      </c>
      <c r="M117" s="33">
        <v>10.93</v>
      </c>
      <c r="N117" s="33">
        <v>10.93</v>
      </c>
      <c r="O117" s="33">
        <v>10.93</v>
      </c>
      <c r="P117" s="33">
        <v>10.93</v>
      </c>
      <c r="Q117" s="33">
        <v>10.93</v>
      </c>
      <c r="R117" s="33">
        <v>10.93</v>
      </c>
      <c r="S117" s="33">
        <v>10.93</v>
      </c>
    </row>
    <row r="118" spans="1:19" x14ac:dyDescent="0.2">
      <c r="A118" s="1"/>
      <c r="B118" s="32" t="s">
        <v>133</v>
      </c>
      <c r="C118" s="31" t="s">
        <v>38</v>
      </c>
      <c r="D118" s="31" t="s">
        <v>38</v>
      </c>
      <c r="E118" s="31" t="s">
        <v>38</v>
      </c>
      <c r="F118" s="31" t="s">
        <v>38</v>
      </c>
      <c r="G118" s="31" t="s">
        <v>38</v>
      </c>
      <c r="H118" s="31" t="s">
        <v>38</v>
      </c>
      <c r="I118" s="31" t="s">
        <v>38</v>
      </c>
      <c r="J118" s="31" t="s">
        <v>38</v>
      </c>
      <c r="K118" s="33">
        <f>J101/10</f>
        <v>11.2550881</v>
      </c>
      <c r="L118" s="33">
        <v>11.26</v>
      </c>
      <c r="M118" s="33">
        <v>11.26</v>
      </c>
      <c r="N118" s="33">
        <v>11.26</v>
      </c>
      <c r="O118" s="33">
        <v>11.26</v>
      </c>
      <c r="P118" s="33">
        <v>11.26</v>
      </c>
      <c r="Q118" s="33">
        <v>11.26</v>
      </c>
      <c r="R118" s="33">
        <v>11.26</v>
      </c>
      <c r="S118" s="33">
        <v>11.26</v>
      </c>
    </row>
    <row r="119" spans="1:19" x14ac:dyDescent="0.2">
      <c r="A119" s="1"/>
      <c r="B119" s="32" t="s">
        <v>134</v>
      </c>
      <c r="C119" s="31" t="s">
        <v>38</v>
      </c>
      <c r="D119" s="31" t="s">
        <v>38</v>
      </c>
      <c r="E119" s="31" t="s">
        <v>38</v>
      </c>
      <c r="F119" s="31" t="s">
        <v>38</v>
      </c>
      <c r="G119" s="31" t="s">
        <v>38</v>
      </c>
      <c r="H119" s="31" t="s">
        <v>38</v>
      </c>
      <c r="I119" s="31" t="s">
        <v>38</v>
      </c>
      <c r="J119" s="31" t="s">
        <v>38</v>
      </c>
      <c r="K119" s="31" t="s">
        <v>38</v>
      </c>
      <c r="L119" s="33">
        <f>K101/10</f>
        <v>11.592740743</v>
      </c>
      <c r="M119" s="33">
        <v>11.59</v>
      </c>
      <c r="N119" s="33">
        <v>11.59</v>
      </c>
      <c r="O119" s="33">
        <v>11.59</v>
      </c>
      <c r="P119" s="33">
        <v>11.59</v>
      </c>
      <c r="Q119" s="33">
        <v>11.59</v>
      </c>
      <c r="R119" s="33">
        <v>11.59</v>
      </c>
      <c r="S119" s="33">
        <v>11.59</v>
      </c>
    </row>
    <row r="120" spans="1:19" x14ac:dyDescent="0.2">
      <c r="A120" s="1"/>
      <c r="B120" s="32" t="s">
        <v>135</v>
      </c>
      <c r="C120" s="31" t="s">
        <v>38</v>
      </c>
      <c r="D120" s="31" t="s">
        <v>38</v>
      </c>
      <c r="E120" s="31" t="s">
        <v>38</v>
      </c>
      <c r="F120" s="31" t="s">
        <v>38</v>
      </c>
      <c r="G120" s="31" t="s">
        <v>38</v>
      </c>
      <c r="H120" s="31" t="s">
        <v>38</v>
      </c>
      <c r="I120" s="31" t="s">
        <v>38</v>
      </c>
      <c r="J120" s="31" t="s">
        <v>38</v>
      </c>
      <c r="K120" s="31" t="s">
        <v>38</v>
      </c>
      <c r="L120" s="31" t="s">
        <v>38</v>
      </c>
      <c r="M120" s="33">
        <f>L101/10</f>
        <v>11.94052296529</v>
      </c>
      <c r="N120" s="33">
        <v>11.94</v>
      </c>
      <c r="O120" s="33">
        <v>11.94</v>
      </c>
      <c r="P120" s="33">
        <v>11.94</v>
      </c>
      <c r="Q120" s="33">
        <v>11.94</v>
      </c>
      <c r="R120" s="33">
        <v>11.94</v>
      </c>
      <c r="S120" s="33">
        <v>11.94</v>
      </c>
    </row>
    <row r="121" spans="1:19" x14ac:dyDescent="0.2">
      <c r="A121" s="1"/>
      <c r="B121" s="32" t="s">
        <v>136</v>
      </c>
      <c r="C121" s="31" t="s">
        <v>38</v>
      </c>
      <c r="D121" s="31" t="s">
        <v>38</v>
      </c>
      <c r="E121" s="31" t="s">
        <v>38</v>
      </c>
      <c r="F121" s="31" t="s">
        <v>38</v>
      </c>
      <c r="G121" s="31" t="s">
        <v>38</v>
      </c>
      <c r="H121" s="31" t="s">
        <v>38</v>
      </c>
      <c r="I121" s="31" t="s">
        <v>38</v>
      </c>
      <c r="J121" s="31" t="s">
        <v>38</v>
      </c>
      <c r="K121" s="31" t="s">
        <v>38</v>
      </c>
      <c r="L121" s="31" t="s">
        <v>38</v>
      </c>
      <c r="M121" s="31" t="s">
        <v>38</v>
      </c>
      <c r="N121" s="33">
        <f>M101/10</f>
        <v>12.2987386542487</v>
      </c>
      <c r="O121" s="33">
        <v>12.3</v>
      </c>
      <c r="P121" s="33">
        <v>12.3</v>
      </c>
      <c r="Q121" s="33">
        <v>12.3</v>
      </c>
      <c r="R121" s="33">
        <v>12.3</v>
      </c>
      <c r="S121" s="33">
        <v>12.3</v>
      </c>
    </row>
    <row r="122" spans="1:19" x14ac:dyDescent="0.2">
      <c r="A122" s="1"/>
      <c r="B122" s="32" t="s">
        <v>137</v>
      </c>
      <c r="C122" s="31" t="s">
        <v>38</v>
      </c>
      <c r="D122" s="31" t="s">
        <v>38</v>
      </c>
      <c r="E122" s="31" t="s">
        <v>38</v>
      </c>
      <c r="F122" s="31" t="s">
        <v>38</v>
      </c>
      <c r="G122" s="31" t="s">
        <v>38</v>
      </c>
      <c r="H122" s="31" t="s">
        <v>38</v>
      </c>
      <c r="I122" s="31" t="s">
        <v>38</v>
      </c>
      <c r="J122" s="31" t="s">
        <v>38</v>
      </c>
      <c r="K122" s="31" t="s">
        <v>38</v>
      </c>
      <c r="L122" s="31" t="s">
        <v>38</v>
      </c>
      <c r="M122" s="31" t="s">
        <v>38</v>
      </c>
      <c r="N122" s="31" t="s">
        <v>38</v>
      </c>
      <c r="O122" s="33">
        <f>N101/10</f>
        <v>12.667700813876163</v>
      </c>
      <c r="P122" s="33">
        <v>12.67</v>
      </c>
      <c r="Q122" s="33">
        <v>12.67</v>
      </c>
      <c r="R122" s="33">
        <v>12.67</v>
      </c>
      <c r="S122" s="33">
        <v>12.67</v>
      </c>
    </row>
    <row r="123" spans="1:19" x14ac:dyDescent="0.2">
      <c r="A123" s="1"/>
      <c r="B123" s="32" t="s">
        <v>138</v>
      </c>
      <c r="C123" s="31" t="s">
        <v>38</v>
      </c>
      <c r="D123" s="31" t="s">
        <v>38</v>
      </c>
      <c r="E123" s="31" t="s">
        <v>38</v>
      </c>
      <c r="F123" s="31" t="s">
        <v>38</v>
      </c>
      <c r="G123" s="31" t="s">
        <v>38</v>
      </c>
      <c r="H123" s="31" t="s">
        <v>38</v>
      </c>
      <c r="I123" s="31" t="s">
        <v>38</v>
      </c>
      <c r="J123" s="31" t="s">
        <v>38</v>
      </c>
      <c r="K123" s="31" t="s">
        <v>38</v>
      </c>
      <c r="L123" s="31" t="s">
        <v>38</v>
      </c>
      <c r="M123" s="31" t="s">
        <v>38</v>
      </c>
      <c r="N123" s="31" t="s">
        <v>38</v>
      </c>
      <c r="O123" s="31" t="s">
        <v>38</v>
      </c>
      <c r="P123" s="33">
        <f>O101/10</f>
        <v>13.047731838292446</v>
      </c>
      <c r="Q123" s="33">
        <v>13.05</v>
      </c>
      <c r="R123" s="33">
        <v>13.05</v>
      </c>
      <c r="S123" s="33">
        <v>13.05</v>
      </c>
    </row>
    <row r="124" spans="1:19" x14ac:dyDescent="0.2">
      <c r="A124" s="1"/>
      <c r="B124" s="3" t="s">
        <v>139</v>
      </c>
      <c r="C124" s="31" t="s">
        <v>38</v>
      </c>
      <c r="D124" s="31" t="s">
        <v>38</v>
      </c>
      <c r="E124" s="31" t="s">
        <v>38</v>
      </c>
      <c r="F124" s="31" t="s">
        <v>38</v>
      </c>
      <c r="G124" s="31" t="s">
        <v>38</v>
      </c>
      <c r="H124" s="33">
        <v>22.51</v>
      </c>
      <c r="I124" s="33">
        <v>22.51</v>
      </c>
      <c r="J124" s="33">
        <v>22.51</v>
      </c>
      <c r="K124" s="33">
        <v>22.51</v>
      </c>
      <c r="L124" s="33">
        <v>22.51</v>
      </c>
      <c r="M124" s="33">
        <v>22.51</v>
      </c>
      <c r="N124" s="33">
        <v>22.51</v>
      </c>
      <c r="O124" s="33">
        <v>-5.17</v>
      </c>
      <c r="P124" s="33">
        <v>-5.17</v>
      </c>
      <c r="Q124" s="33">
        <v>-5.17</v>
      </c>
      <c r="R124" s="33">
        <v>-5.17</v>
      </c>
      <c r="S124" s="33">
        <v>-5.17</v>
      </c>
    </row>
    <row r="125" spans="1:19" x14ac:dyDescent="0.2">
      <c r="A125" s="1"/>
      <c r="B125" s="11" t="s">
        <v>176</v>
      </c>
      <c r="C125" s="20" t="s">
        <v>38</v>
      </c>
      <c r="D125" s="20" t="s">
        <v>38</v>
      </c>
      <c r="E125" s="20" t="s">
        <v>38</v>
      </c>
      <c r="F125" s="35">
        <f>SUM(F113)</f>
        <v>25</v>
      </c>
      <c r="G125" s="35">
        <f>SUM(G113:G114)</f>
        <v>35</v>
      </c>
      <c r="H125" s="35">
        <f t="shared" ref="H125:R125" si="46">SUM(H113:H124)</f>
        <v>67.81</v>
      </c>
      <c r="I125" s="35">
        <f t="shared" si="46"/>
        <v>78.418999999999997</v>
      </c>
      <c r="J125" s="35">
        <f t="shared" si="46"/>
        <v>89.347269999999995</v>
      </c>
      <c r="K125" s="35">
        <f t="shared" si="46"/>
        <v>100.6050881</v>
      </c>
      <c r="L125" s="35">
        <f t="shared" si="46"/>
        <v>112.20274074300001</v>
      </c>
      <c r="M125" s="35">
        <f t="shared" si="46"/>
        <v>124.14052296529002</v>
      </c>
      <c r="N125" s="35">
        <f t="shared" si="46"/>
        <v>136.43873865424871</v>
      </c>
      <c r="O125" s="35">
        <f t="shared" si="46"/>
        <v>121.42770081387617</v>
      </c>
      <c r="P125" s="35">
        <f t="shared" si="46"/>
        <v>109.47773183829244</v>
      </c>
      <c r="Q125" s="35">
        <f t="shared" si="46"/>
        <v>99.47999999999999</v>
      </c>
      <c r="R125" s="35">
        <f t="shared" si="46"/>
        <v>89.179999999999993</v>
      </c>
      <c r="S125" s="35">
        <f>R125*(1+C4)</f>
        <v>91.855399999999989</v>
      </c>
    </row>
    <row r="126" spans="1:19" x14ac:dyDescent="0.2">
      <c r="A126" s="1"/>
      <c r="B126" s="11" t="s">
        <v>166</v>
      </c>
      <c r="C126" s="20" t="s">
        <v>38</v>
      </c>
      <c r="D126" s="20" t="s">
        <v>38</v>
      </c>
      <c r="E126" s="20" t="s">
        <v>38</v>
      </c>
      <c r="F126" s="35">
        <f>F58*(1+C4)^3</f>
        <v>27.318175</v>
      </c>
      <c r="G126" s="35">
        <f>G57*(1+C4)^4</f>
        <v>39.392808349999996</v>
      </c>
      <c r="H126" s="35">
        <f>H57*(1+C4)^5</f>
        <v>78.610374978282991</v>
      </c>
      <c r="I126" s="35">
        <f>I57*(1+C4)^6</f>
        <v>93.636387041507646</v>
      </c>
      <c r="J126" s="35">
        <f>J58*(1+C4)^7</f>
        <v>109.88587232005952</v>
      </c>
      <c r="K126" s="35">
        <f>K58*(1+C4)^8</f>
        <v>127.44351564044527</v>
      </c>
      <c r="L126" s="35">
        <f>L58*(1+C4)^9</f>
        <v>146.39912727361141</v>
      </c>
      <c r="M126" s="35">
        <f>M58*(1+C4)^10</f>
        <v>166.83448215339837</v>
      </c>
      <c r="N126" s="35">
        <f>N58*(1+C4)^11</f>
        <v>188.86312332413172</v>
      </c>
      <c r="O126" s="35">
        <f>O58*(1+C4)^12</f>
        <v>173.12686640008454</v>
      </c>
      <c r="P126" s="35">
        <f>P58*(1+C4)^13</f>
        <v>160.77174007674211</v>
      </c>
      <c r="Q126" s="35">
        <f>Q58*(1+C4)^14</f>
        <v>150.47242582858644</v>
      </c>
      <c r="R126" s="35">
        <f>R58*(1+C4)^15</f>
        <v>138.93953421245615</v>
      </c>
      <c r="S126" s="45">
        <f>S125*(1+C4)^16</f>
        <v>147.40095184599471</v>
      </c>
    </row>
    <row r="127" spans="1:19" x14ac:dyDescent="0.2">
      <c r="A127" s="1"/>
      <c r="B127" s="3" t="s">
        <v>143</v>
      </c>
      <c r="C127" s="31" t="s">
        <v>38</v>
      </c>
      <c r="D127" s="31" t="s">
        <v>38</v>
      </c>
      <c r="E127" s="31" t="s">
        <v>38</v>
      </c>
      <c r="F127" s="31" t="s">
        <v>38</v>
      </c>
      <c r="G127" s="33">
        <f>SUM(F126)</f>
        <v>27.318175</v>
      </c>
      <c r="H127" s="33">
        <f>SUM(F126+G126-G128)</f>
        <v>63.979165849999994</v>
      </c>
      <c r="I127" s="33">
        <f t="shared" ref="I127:S127" si="47">H127+H126-H128</f>
        <v>136.191624243283</v>
      </c>
      <c r="J127" s="33">
        <f t="shared" si="47"/>
        <v>216.20884886046235</v>
      </c>
      <c r="K127" s="33">
        <f t="shared" si="47"/>
        <v>304.47383629447569</v>
      </c>
      <c r="L127" s="33">
        <f t="shared" si="47"/>
        <v>401.46996830547334</v>
      </c>
      <c r="M127" s="33">
        <f t="shared" si="47"/>
        <v>507.72209874853741</v>
      </c>
      <c r="N127" s="33">
        <f t="shared" si="47"/>
        <v>623.7843710270821</v>
      </c>
      <c r="O127" s="33">
        <f t="shared" si="47"/>
        <v>750.26905724850565</v>
      </c>
      <c r="P127" s="33">
        <f t="shared" si="47"/>
        <v>848.36901792373965</v>
      </c>
      <c r="Q127" s="33">
        <f t="shared" si="47"/>
        <v>924.30385620810785</v>
      </c>
      <c r="R127" s="33">
        <f t="shared" si="47"/>
        <v>982.34589641588354</v>
      </c>
      <c r="S127" s="33">
        <f t="shared" si="47"/>
        <v>1023.0508409867514</v>
      </c>
    </row>
    <row r="128" spans="1:19" x14ac:dyDescent="0.2">
      <c r="A128" s="1"/>
      <c r="B128" s="11" t="s">
        <v>177</v>
      </c>
      <c r="C128" s="20" t="s">
        <v>38</v>
      </c>
      <c r="D128" s="20" t="s">
        <v>38</v>
      </c>
      <c r="E128" s="20" t="s">
        <v>38</v>
      </c>
      <c r="F128" s="20" t="s">
        <v>38</v>
      </c>
      <c r="G128" s="35">
        <f>F126*10%</f>
        <v>2.7318175</v>
      </c>
      <c r="H128" s="35">
        <f t="shared" ref="H128:R128" si="48">H127*10%</f>
        <v>6.3979165849999999</v>
      </c>
      <c r="I128" s="35">
        <f t="shared" si="48"/>
        <v>13.619162424328302</v>
      </c>
      <c r="J128" s="35">
        <f t="shared" si="48"/>
        <v>21.620884886046237</v>
      </c>
      <c r="K128" s="35">
        <f t="shared" si="48"/>
        <v>30.447383629447572</v>
      </c>
      <c r="L128" s="35">
        <f t="shared" si="48"/>
        <v>40.146996830547337</v>
      </c>
      <c r="M128" s="35">
        <f t="shared" si="48"/>
        <v>50.772209874853743</v>
      </c>
      <c r="N128" s="35">
        <f t="shared" si="48"/>
        <v>62.378437102708212</v>
      </c>
      <c r="O128" s="35">
        <f t="shared" si="48"/>
        <v>75.026905724850565</v>
      </c>
      <c r="P128" s="35">
        <f t="shared" si="48"/>
        <v>84.836901792373965</v>
      </c>
      <c r="Q128" s="35">
        <f t="shared" si="48"/>
        <v>92.430385620810796</v>
      </c>
      <c r="R128" s="35">
        <f t="shared" si="48"/>
        <v>98.234589641588357</v>
      </c>
      <c r="S128" s="45">
        <f>S127*10%</f>
        <v>102.30508409867514</v>
      </c>
    </row>
    <row r="129" spans="1:19" s="5" customFormat="1" x14ac:dyDescent="0.2">
      <c r="B129" s="11" t="s">
        <v>141</v>
      </c>
      <c r="C129" s="20" t="s">
        <v>38</v>
      </c>
      <c r="D129" s="20" t="s">
        <v>38</v>
      </c>
      <c r="E129" s="20" t="s">
        <v>38</v>
      </c>
      <c r="F129" s="35">
        <f>F125</f>
        <v>25</v>
      </c>
      <c r="G129" s="35">
        <f t="shared" ref="G129:S129" si="49">G125+G128</f>
        <v>37.731817499999998</v>
      </c>
      <c r="H129" s="35">
        <f t="shared" si="49"/>
        <v>74.207916585000007</v>
      </c>
      <c r="I129" s="35">
        <f t="shared" si="49"/>
        <v>92.038162424328306</v>
      </c>
      <c r="J129" s="35">
        <f t="shared" si="49"/>
        <v>110.96815488604624</v>
      </c>
      <c r="K129" s="35">
        <f t="shared" si="49"/>
        <v>131.05247172944757</v>
      </c>
      <c r="L129" s="35">
        <f t="shared" si="49"/>
        <v>152.34973757354734</v>
      </c>
      <c r="M129" s="35">
        <f t="shared" si="49"/>
        <v>174.91273284014375</v>
      </c>
      <c r="N129" s="35">
        <f t="shared" si="49"/>
        <v>198.81717575695691</v>
      </c>
      <c r="O129" s="35">
        <f t="shared" si="49"/>
        <v>196.45460653872675</v>
      </c>
      <c r="P129" s="35">
        <f t="shared" si="49"/>
        <v>194.31463363066641</v>
      </c>
      <c r="Q129" s="35">
        <f t="shared" si="49"/>
        <v>191.91038562081079</v>
      </c>
      <c r="R129" s="35">
        <f>R125+R128</f>
        <v>187.41458964158835</v>
      </c>
      <c r="S129" s="35">
        <f t="shared" si="49"/>
        <v>194.16048409867511</v>
      </c>
    </row>
    <row r="130" spans="1:19" x14ac:dyDescent="0.2">
      <c r="A130" s="1"/>
    </row>
    <row r="131" spans="1:19" x14ac:dyDescent="0.2">
      <c r="A131" s="7" t="s">
        <v>148</v>
      </c>
      <c r="B131" s="5" t="s">
        <v>142</v>
      </c>
      <c r="C131" s="5"/>
      <c r="D131" s="5"/>
      <c r="E131" s="5"/>
      <c r="F131" s="5"/>
      <c r="G131" s="47"/>
      <c r="H131" s="48"/>
      <c r="I131" s="48"/>
      <c r="J131" s="5"/>
      <c r="K131" s="5"/>
      <c r="L131" s="5"/>
      <c r="M131" s="5"/>
      <c r="N131" s="5"/>
      <c r="O131" s="5"/>
      <c r="P131" s="5"/>
      <c r="Q131" s="5"/>
      <c r="R131" s="5"/>
      <c r="S131" s="5"/>
    </row>
    <row r="132" spans="1:19" x14ac:dyDescent="0.2">
      <c r="A132" s="1"/>
      <c r="B132" s="10" t="s">
        <v>115</v>
      </c>
      <c r="C132" s="31">
        <v>0</v>
      </c>
      <c r="D132" s="31">
        <v>1</v>
      </c>
      <c r="E132" s="31">
        <v>2</v>
      </c>
      <c r="F132" s="31">
        <v>3</v>
      </c>
      <c r="G132" s="31">
        <v>4</v>
      </c>
      <c r="H132" s="31">
        <v>5</v>
      </c>
      <c r="I132" s="31">
        <v>6</v>
      </c>
      <c r="J132" s="31">
        <v>7</v>
      </c>
      <c r="K132" s="31">
        <v>8</v>
      </c>
      <c r="L132" s="31">
        <v>9</v>
      </c>
      <c r="M132" s="31">
        <v>10</v>
      </c>
      <c r="N132" s="31">
        <v>11</v>
      </c>
      <c r="O132" s="31">
        <v>12</v>
      </c>
      <c r="P132" s="31">
        <v>13</v>
      </c>
      <c r="Q132" s="31">
        <v>14</v>
      </c>
      <c r="R132" s="31">
        <v>15</v>
      </c>
      <c r="S132" s="31">
        <v>16</v>
      </c>
    </row>
    <row r="133" spans="1:19" x14ac:dyDescent="0.2">
      <c r="A133" s="1"/>
      <c r="B133" s="3" t="s">
        <v>145</v>
      </c>
      <c r="C133" s="10" t="s">
        <v>38</v>
      </c>
      <c r="D133" s="10" t="s">
        <v>38</v>
      </c>
      <c r="E133" s="10" t="s">
        <v>38</v>
      </c>
      <c r="F133" s="33">
        <f>F95*10%</f>
        <v>6</v>
      </c>
      <c r="G133" s="33">
        <f t="shared" ref="G133:S133" si="50">G95*10%</f>
        <v>12.36</v>
      </c>
      <c r="H133" s="33">
        <f t="shared" si="50"/>
        <v>19.094999999999999</v>
      </c>
      <c r="I133" s="33">
        <f t="shared" si="50"/>
        <v>26.224000000000004</v>
      </c>
      <c r="J133" s="33">
        <f t="shared" si="50"/>
        <v>33.765000000000001</v>
      </c>
      <c r="K133" s="33">
        <f t="shared" si="50"/>
        <v>41.736000000000004</v>
      </c>
      <c r="L133" s="33">
        <f t="shared" si="50"/>
        <v>50.148000000000003</v>
      </c>
      <c r="M133" s="33">
        <f t="shared" si="50"/>
        <v>59.032000000000011</v>
      </c>
      <c r="N133" s="33">
        <f t="shared" si="50"/>
        <v>68.409000000000006</v>
      </c>
      <c r="O133" s="33">
        <f t="shared" si="50"/>
        <v>78.29000000000002</v>
      </c>
      <c r="P133" s="33">
        <f t="shared" si="50"/>
        <v>88.692999999999998</v>
      </c>
      <c r="Q133" s="33">
        <f t="shared" si="50"/>
        <v>91.355000000000004</v>
      </c>
      <c r="R133" s="33">
        <f t="shared" si="50"/>
        <v>94.105000000000004</v>
      </c>
      <c r="S133" s="33">
        <f t="shared" si="50"/>
        <v>96.928150000000016</v>
      </c>
    </row>
    <row r="134" spans="1:19" x14ac:dyDescent="0.2">
      <c r="A134" s="1"/>
      <c r="B134" s="3" t="s">
        <v>144</v>
      </c>
      <c r="C134" s="10" t="s">
        <v>38</v>
      </c>
      <c r="D134" s="10" t="s">
        <v>38</v>
      </c>
      <c r="E134" s="10" t="s">
        <v>38</v>
      </c>
      <c r="F134" s="33">
        <f>F96*10%</f>
        <v>2.4000000000000004</v>
      </c>
      <c r="G134" s="33">
        <f t="shared" ref="G134:S134" si="51">G96*10%</f>
        <v>4.944</v>
      </c>
      <c r="H134" s="33">
        <f t="shared" si="51"/>
        <v>7.6379999999999999</v>
      </c>
      <c r="I134" s="33">
        <f t="shared" si="51"/>
        <v>10.489600000000003</v>
      </c>
      <c r="J134" s="33">
        <f t="shared" si="51"/>
        <v>13.506</v>
      </c>
      <c r="K134" s="33">
        <f t="shared" si="51"/>
        <v>16.694400000000002</v>
      </c>
      <c r="L134" s="33">
        <f t="shared" si="51"/>
        <v>20.059200000000004</v>
      </c>
      <c r="M134" s="33">
        <f t="shared" si="51"/>
        <v>23.612800000000007</v>
      </c>
      <c r="N134" s="33">
        <f t="shared" si="51"/>
        <v>27.363600000000005</v>
      </c>
      <c r="O134" s="33">
        <f t="shared" si="51"/>
        <v>31.31600000000001</v>
      </c>
      <c r="P134" s="33">
        <f t="shared" si="51"/>
        <v>35.477200000000003</v>
      </c>
      <c r="Q134" s="33">
        <f t="shared" si="51"/>
        <v>36.542000000000002</v>
      </c>
      <c r="R134" s="33">
        <f t="shared" si="51"/>
        <v>37.642000000000003</v>
      </c>
      <c r="S134" s="33">
        <f t="shared" si="51"/>
        <v>38.771260000000012</v>
      </c>
    </row>
    <row r="135" spans="1:19" x14ac:dyDescent="0.2">
      <c r="A135" s="1"/>
      <c r="B135" s="46" t="s">
        <v>146</v>
      </c>
      <c r="C135" s="10" t="s">
        <v>38</v>
      </c>
      <c r="D135" s="10" t="s">
        <v>38</v>
      </c>
      <c r="E135" s="10" t="s">
        <v>38</v>
      </c>
      <c r="F135" s="33">
        <f>F96*5%</f>
        <v>1.2000000000000002</v>
      </c>
      <c r="G135" s="33">
        <f t="shared" ref="G135:S135" si="52">G96*5%</f>
        <v>2.472</v>
      </c>
      <c r="H135" s="33">
        <f t="shared" si="52"/>
        <v>3.819</v>
      </c>
      <c r="I135" s="33">
        <f t="shared" si="52"/>
        <v>5.2448000000000015</v>
      </c>
      <c r="J135" s="33">
        <f t="shared" si="52"/>
        <v>6.7530000000000001</v>
      </c>
      <c r="K135" s="33">
        <f t="shared" si="52"/>
        <v>8.3472000000000008</v>
      </c>
      <c r="L135" s="33">
        <f t="shared" si="52"/>
        <v>10.029600000000002</v>
      </c>
      <c r="M135" s="33">
        <f t="shared" si="52"/>
        <v>11.806400000000004</v>
      </c>
      <c r="N135" s="33">
        <f t="shared" si="52"/>
        <v>13.681800000000003</v>
      </c>
      <c r="O135" s="33">
        <f t="shared" si="52"/>
        <v>15.658000000000005</v>
      </c>
      <c r="P135" s="33">
        <f t="shared" si="52"/>
        <v>17.738600000000002</v>
      </c>
      <c r="Q135" s="33">
        <f t="shared" si="52"/>
        <v>18.271000000000001</v>
      </c>
      <c r="R135" s="33">
        <f t="shared" si="52"/>
        <v>18.821000000000002</v>
      </c>
      <c r="S135" s="33">
        <f t="shared" si="52"/>
        <v>19.385630000000006</v>
      </c>
    </row>
    <row r="136" spans="1:19" x14ac:dyDescent="0.2">
      <c r="A136" s="1"/>
      <c r="B136" s="3" t="s">
        <v>147</v>
      </c>
      <c r="C136" s="10" t="s">
        <v>38</v>
      </c>
      <c r="D136" s="10" t="s">
        <v>38</v>
      </c>
      <c r="E136" s="10" t="s">
        <v>38</v>
      </c>
      <c r="F136" s="33">
        <f>(F133+F134)-F135</f>
        <v>7.2</v>
      </c>
      <c r="G136" s="33">
        <f t="shared" ref="G136:S136" si="53">(G133+G134)-G135</f>
        <v>14.831999999999999</v>
      </c>
      <c r="H136" s="33">
        <f t="shared" si="53"/>
        <v>22.913999999999998</v>
      </c>
      <c r="I136" s="33">
        <f t="shared" si="53"/>
        <v>31.468800000000005</v>
      </c>
      <c r="J136" s="33">
        <f t="shared" si="53"/>
        <v>40.518000000000001</v>
      </c>
      <c r="K136" s="33">
        <f t="shared" si="53"/>
        <v>50.083200000000005</v>
      </c>
      <c r="L136" s="33">
        <f t="shared" si="53"/>
        <v>60.177599999999998</v>
      </c>
      <c r="M136" s="33">
        <f t="shared" si="53"/>
        <v>70.838400000000007</v>
      </c>
      <c r="N136" s="33">
        <f t="shared" si="53"/>
        <v>82.090800000000002</v>
      </c>
      <c r="O136" s="33">
        <f t="shared" si="53"/>
        <v>93.948000000000022</v>
      </c>
      <c r="P136" s="33">
        <f t="shared" si="53"/>
        <v>106.43159999999999</v>
      </c>
      <c r="Q136" s="33">
        <f t="shared" si="53"/>
        <v>109.626</v>
      </c>
      <c r="R136" s="33">
        <f t="shared" si="53"/>
        <v>112.92600000000002</v>
      </c>
      <c r="S136" s="33">
        <f t="shared" si="53"/>
        <v>116.31378000000002</v>
      </c>
    </row>
    <row r="137" spans="1:19" x14ac:dyDescent="0.2">
      <c r="A137" s="1"/>
      <c r="B137" s="11" t="s">
        <v>160</v>
      </c>
      <c r="C137" s="10" t="s">
        <v>38</v>
      </c>
      <c r="D137" s="10" t="s">
        <v>38</v>
      </c>
      <c r="E137" s="35">
        <f>F136</f>
        <v>7.2</v>
      </c>
      <c r="F137" s="35">
        <f>G136-F136</f>
        <v>7.6319999999999988</v>
      </c>
      <c r="G137" s="35">
        <f>H136-G136</f>
        <v>8.081999999999999</v>
      </c>
      <c r="H137" s="35">
        <f t="shared" ref="H137" si="54">I136-H136</f>
        <v>8.5548000000000073</v>
      </c>
      <c r="I137" s="35">
        <f t="shared" ref="I137" si="55">J136-I136</f>
        <v>9.0491999999999955</v>
      </c>
      <c r="J137" s="35">
        <f t="shared" ref="J137" si="56">K136-J136</f>
        <v>9.5652000000000044</v>
      </c>
      <c r="K137" s="35">
        <f t="shared" ref="K137" si="57">L136-K136</f>
        <v>10.094399999999993</v>
      </c>
      <c r="L137" s="35">
        <f t="shared" ref="L137" si="58">M136-L136</f>
        <v>10.660800000000009</v>
      </c>
      <c r="M137" s="35">
        <f t="shared" ref="M137" si="59">N136-M136</f>
        <v>11.252399999999994</v>
      </c>
      <c r="N137" s="35">
        <f t="shared" ref="N137" si="60">O136-N136</f>
        <v>11.85720000000002</v>
      </c>
      <c r="O137" s="35">
        <f t="shared" ref="O137" si="61">P136-O136</f>
        <v>12.483599999999967</v>
      </c>
      <c r="P137" s="35">
        <f t="shared" ref="P137" si="62">Q136-P136</f>
        <v>3.1944000000000159</v>
      </c>
      <c r="Q137" s="35">
        <f t="shared" ref="Q137" si="63">R136-Q136</f>
        <v>3.3000000000000114</v>
      </c>
      <c r="R137" s="35">
        <f>R136-Q136</f>
        <v>3.3000000000000114</v>
      </c>
      <c r="S137" s="35">
        <f>S136-R136</f>
        <v>3.3877800000000065</v>
      </c>
    </row>
    <row r="138" spans="1:19" x14ac:dyDescent="0.2">
      <c r="A138" s="1"/>
    </row>
    <row r="139" spans="1:19" x14ac:dyDescent="0.2">
      <c r="A139" s="7" t="s">
        <v>153</v>
      </c>
      <c r="B139" s="5" t="s">
        <v>149</v>
      </c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</row>
    <row r="140" spans="1:19" x14ac:dyDescent="0.2">
      <c r="B140" s="10" t="s">
        <v>115</v>
      </c>
      <c r="C140" s="31">
        <v>0</v>
      </c>
      <c r="D140" s="31">
        <v>1</v>
      </c>
      <c r="E140" s="31">
        <v>2</v>
      </c>
      <c r="F140" s="31">
        <v>3</v>
      </c>
      <c r="G140" s="31">
        <v>4</v>
      </c>
      <c r="H140" s="31">
        <v>5</v>
      </c>
      <c r="I140" s="31">
        <v>6</v>
      </c>
      <c r="J140" s="31">
        <v>7</v>
      </c>
      <c r="K140" s="31">
        <v>8</v>
      </c>
      <c r="L140" s="31">
        <v>9</v>
      </c>
      <c r="M140" s="31">
        <v>10</v>
      </c>
      <c r="N140" s="31">
        <v>11</v>
      </c>
      <c r="O140" s="31">
        <v>12</v>
      </c>
      <c r="P140" s="31">
        <v>13</v>
      </c>
      <c r="Q140" s="31">
        <v>14</v>
      </c>
      <c r="R140" s="31">
        <v>15</v>
      </c>
      <c r="S140" s="28">
        <v>16</v>
      </c>
    </row>
    <row r="141" spans="1:19" x14ac:dyDescent="0.2">
      <c r="B141" s="3" t="s">
        <v>150</v>
      </c>
      <c r="C141" s="33">
        <v>200</v>
      </c>
      <c r="D141" s="33">
        <f>C141*(1+C9)</f>
        <v>210</v>
      </c>
      <c r="E141" s="33">
        <f>D141*(1+C9)</f>
        <v>220.5</v>
      </c>
      <c r="F141" s="33">
        <f>E141*(1+C9)</f>
        <v>231.52500000000001</v>
      </c>
      <c r="G141" s="33">
        <f>F141*(1+C9)</f>
        <v>243.10125000000002</v>
      </c>
      <c r="H141" s="33">
        <f>G141*(1+C9)</f>
        <v>255.25631250000004</v>
      </c>
      <c r="I141" s="33">
        <f>H141*(1+C9)</f>
        <v>268.01912812500007</v>
      </c>
      <c r="J141" s="33">
        <f>I141*(1+C9)</f>
        <v>281.4200845312501</v>
      </c>
      <c r="K141" s="33">
        <f>J141*(1+C9)</f>
        <v>295.49108875781263</v>
      </c>
      <c r="L141" s="33">
        <f>K141*(1+C9)</f>
        <v>310.26564319570326</v>
      </c>
      <c r="M141" s="33">
        <f>L141*(1+C9)</f>
        <v>325.77892535548841</v>
      </c>
      <c r="N141" s="33">
        <f>M141*(1+C9)</f>
        <v>342.06787162326287</v>
      </c>
      <c r="O141" s="33">
        <f>N141*(1+C9)</f>
        <v>359.17126520442605</v>
      </c>
      <c r="P141" s="33">
        <f>O141*(1+C9)</f>
        <v>377.12982846464735</v>
      </c>
      <c r="Q141" s="33">
        <f>P141*(1+C9)</f>
        <v>395.98631988787974</v>
      </c>
      <c r="R141" s="33">
        <f>Q141*(1+C9)</f>
        <v>415.78563588227377</v>
      </c>
      <c r="S141" s="33">
        <f>R141*(1+C9)</f>
        <v>436.57491767638749</v>
      </c>
    </row>
    <row r="142" spans="1:19" x14ac:dyDescent="0.2">
      <c r="B142" s="3" t="s">
        <v>151</v>
      </c>
      <c r="C142" s="33" t="s">
        <v>38</v>
      </c>
      <c r="D142" s="33" t="s">
        <v>38</v>
      </c>
      <c r="E142" s="33" t="s">
        <v>38</v>
      </c>
      <c r="F142" s="33">
        <f>F141*C8</f>
        <v>11.576250000000002</v>
      </c>
      <c r="G142" s="33">
        <f>G141*C8</f>
        <v>12.155062500000001</v>
      </c>
      <c r="H142" s="33">
        <f>H141*C8</f>
        <v>12.762815625000002</v>
      </c>
      <c r="I142" s="33">
        <f>I141*C8</f>
        <v>13.400956406250003</v>
      </c>
      <c r="J142" s="33">
        <f>J141*C8</f>
        <v>14.071004226562506</v>
      </c>
      <c r="K142" s="33">
        <f>K141*C8</f>
        <v>14.774554437890632</v>
      </c>
      <c r="L142" s="33">
        <f>L141*C8</f>
        <v>15.513282159785163</v>
      </c>
      <c r="M142" s="33">
        <f>M141*C8</f>
        <v>16.288946267774421</v>
      </c>
      <c r="N142" s="33">
        <f>N141*C8</f>
        <v>17.103393581163143</v>
      </c>
      <c r="O142" s="33">
        <f>O141*C8</f>
        <v>17.958563260221304</v>
      </c>
      <c r="P142" s="33">
        <f>P141*C8</f>
        <v>18.856491423232367</v>
      </c>
      <c r="Q142" s="33">
        <f>Q141*C8</f>
        <v>19.799315994393989</v>
      </c>
      <c r="R142" s="33">
        <f>R141*C8</f>
        <v>20.789281794113691</v>
      </c>
      <c r="S142" s="33">
        <f>S141*C8</f>
        <v>21.828745883819376</v>
      </c>
    </row>
    <row r="143" spans="1:19" x14ac:dyDescent="0.2">
      <c r="B143" s="3" t="s">
        <v>152</v>
      </c>
      <c r="C143" s="33" t="s">
        <v>38</v>
      </c>
      <c r="D143" s="33" t="s">
        <v>38</v>
      </c>
      <c r="E143" s="33" t="s">
        <v>38</v>
      </c>
      <c r="F143" s="33">
        <v>50</v>
      </c>
      <c r="G143" s="33">
        <f>F143*(1+C10)</f>
        <v>55.000000000000007</v>
      </c>
      <c r="H143" s="33">
        <f>G143*(1+C10)</f>
        <v>60.500000000000014</v>
      </c>
      <c r="I143" s="33">
        <f>H143*(1+C10)</f>
        <v>66.550000000000026</v>
      </c>
      <c r="J143" s="33">
        <f>I143*(1+C10)</f>
        <v>73.205000000000041</v>
      </c>
      <c r="K143" s="33">
        <f>J143*(1+C10)</f>
        <v>80.525500000000051</v>
      </c>
      <c r="L143" s="33">
        <f>K143*(1+C10)</f>
        <v>88.578050000000061</v>
      </c>
      <c r="M143" s="33">
        <f>L143*(1+C10)</f>
        <v>97.435855000000075</v>
      </c>
      <c r="N143" s="33">
        <f>M143*(1+C10)</f>
        <v>107.1794405000001</v>
      </c>
      <c r="O143" s="33">
        <f>N143*(1+C10)</f>
        <v>117.89738455000011</v>
      </c>
      <c r="P143" s="33">
        <f>O143*(1+C10)</f>
        <v>129.68712300500013</v>
      </c>
      <c r="Q143" s="33">
        <f>P143*(1+C4)</f>
        <v>133.57773669515015</v>
      </c>
      <c r="R143" s="33">
        <f>Q143*(1+C4)</f>
        <v>137.58506879600466</v>
      </c>
      <c r="S143" s="33">
        <f>R143*(1+C4)</f>
        <v>141.71262085988479</v>
      </c>
    </row>
    <row r="144" spans="1:19" x14ac:dyDescent="0.2">
      <c r="B144" s="11" t="s">
        <v>161</v>
      </c>
      <c r="C144" s="33" t="s">
        <v>38</v>
      </c>
      <c r="D144" s="33" t="s">
        <v>38</v>
      </c>
      <c r="E144" s="33" t="s">
        <v>38</v>
      </c>
      <c r="F144" s="35">
        <f t="shared" ref="F144:S144" si="64">F142+F143</f>
        <v>61.576250000000002</v>
      </c>
      <c r="G144" s="35">
        <f t="shared" si="64"/>
        <v>67.155062500000014</v>
      </c>
      <c r="H144" s="35">
        <f t="shared" si="64"/>
        <v>73.262815625000016</v>
      </c>
      <c r="I144" s="35">
        <f t="shared" si="64"/>
        <v>79.950956406250029</v>
      </c>
      <c r="J144" s="35">
        <f t="shared" si="64"/>
        <v>87.276004226562549</v>
      </c>
      <c r="K144" s="35">
        <f t="shared" si="64"/>
        <v>95.30005443789068</v>
      </c>
      <c r="L144" s="35">
        <f t="shared" si="64"/>
        <v>104.09133215978522</v>
      </c>
      <c r="M144" s="35">
        <f t="shared" si="64"/>
        <v>113.7248012677745</v>
      </c>
      <c r="N144" s="35">
        <f t="shared" si="64"/>
        <v>124.28283408116324</v>
      </c>
      <c r="O144" s="35">
        <f t="shared" si="64"/>
        <v>135.85594781022141</v>
      </c>
      <c r="P144" s="35">
        <f t="shared" si="64"/>
        <v>148.5436144282325</v>
      </c>
      <c r="Q144" s="35">
        <f t="shared" si="64"/>
        <v>153.37705268954414</v>
      </c>
      <c r="R144" s="35">
        <f t="shared" si="64"/>
        <v>158.37435059011835</v>
      </c>
      <c r="S144" s="35">
        <f t="shared" si="64"/>
        <v>163.54136674370417</v>
      </c>
    </row>
    <row r="145" spans="1:21" x14ac:dyDescent="0.2">
      <c r="B145" s="5"/>
      <c r="C145" s="50"/>
      <c r="D145" s="50"/>
      <c r="E145" s="50"/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</row>
    <row r="146" spans="1:21" x14ac:dyDescent="0.2">
      <c r="A146" s="7" t="s">
        <v>162</v>
      </c>
      <c r="B146" s="5" t="s">
        <v>154</v>
      </c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</row>
    <row r="147" spans="1:21" x14ac:dyDescent="0.2">
      <c r="B147" s="10" t="s">
        <v>115</v>
      </c>
      <c r="C147" s="31">
        <v>0</v>
      </c>
      <c r="D147" s="31">
        <v>1</v>
      </c>
      <c r="E147" s="31">
        <v>2</v>
      </c>
      <c r="F147" s="31">
        <v>3</v>
      </c>
      <c r="G147" s="31">
        <v>4</v>
      </c>
      <c r="H147" s="31">
        <v>5</v>
      </c>
      <c r="I147" s="31">
        <v>6</v>
      </c>
      <c r="J147" s="31">
        <v>7</v>
      </c>
      <c r="K147" s="31">
        <v>8</v>
      </c>
      <c r="L147" s="31">
        <v>9</v>
      </c>
      <c r="M147" s="31">
        <v>10</v>
      </c>
      <c r="N147" s="31">
        <v>11</v>
      </c>
      <c r="O147" s="31">
        <v>12</v>
      </c>
      <c r="P147" s="31">
        <v>13</v>
      </c>
      <c r="Q147" s="31">
        <v>14</v>
      </c>
      <c r="R147" s="31">
        <v>15</v>
      </c>
      <c r="S147" s="28">
        <v>16</v>
      </c>
    </row>
    <row r="148" spans="1:21" x14ac:dyDescent="0.2">
      <c r="B148" s="3" t="s">
        <v>155</v>
      </c>
      <c r="C148" s="33">
        <v>150</v>
      </c>
      <c r="D148" s="33">
        <f>C148*(1+C4)</f>
        <v>154.5</v>
      </c>
      <c r="E148" s="33">
        <f>D148*(1+C4)</f>
        <v>159.13499999999999</v>
      </c>
      <c r="F148" s="33">
        <f>E148*(1+C4)</f>
        <v>163.90905000000001</v>
      </c>
      <c r="G148" s="33">
        <f>F148*(1+C4)</f>
        <v>168.82632150000001</v>
      </c>
      <c r="H148" s="33">
        <f>G148*(1+C4)</f>
        <v>173.891111145</v>
      </c>
      <c r="I148" s="33">
        <f>H148*(1+C4)</f>
        <v>179.10784447935001</v>
      </c>
      <c r="J148" s="33">
        <f>I148*(1+C4)</f>
        <v>184.4810798137305</v>
      </c>
      <c r="K148" s="33">
        <f>J148*(1+C4)</f>
        <v>190.01551220814241</v>
      </c>
      <c r="L148" s="33">
        <f>K148*(1+C4)</f>
        <v>195.7159775743867</v>
      </c>
      <c r="M148" s="33">
        <f>L148*(1+C4)</f>
        <v>201.58745690161831</v>
      </c>
      <c r="N148" s="33">
        <f>M148*(1+C4)</f>
        <v>207.63508060866687</v>
      </c>
      <c r="O148" s="33">
        <f>N148*(1+C4)</f>
        <v>213.86413302692688</v>
      </c>
      <c r="P148" s="33">
        <f>O148*(1+C4)</f>
        <v>220.28005701773469</v>
      </c>
      <c r="Q148" s="33">
        <f>P148*(1+C4)</f>
        <v>226.88845872826673</v>
      </c>
      <c r="R148" s="33">
        <f>Q148*(1+C4)</f>
        <v>233.69511249011472</v>
      </c>
      <c r="S148" s="33">
        <f>R148*(1+C4)</f>
        <v>240.70596586481818</v>
      </c>
    </row>
    <row r="149" spans="1:21" x14ac:dyDescent="0.2">
      <c r="B149" s="3" t="s">
        <v>156</v>
      </c>
      <c r="C149" s="33" t="s">
        <v>38</v>
      </c>
      <c r="D149" s="33" t="s">
        <v>38</v>
      </c>
      <c r="E149" s="33" t="s">
        <v>38</v>
      </c>
      <c r="F149" s="33">
        <f>F148*1.15</f>
        <v>188.4954075</v>
      </c>
      <c r="G149" s="33">
        <f t="shared" ref="G149:S149" si="65">G148*1.15</f>
        <v>194.15026972499999</v>
      </c>
      <c r="H149" s="33">
        <f t="shared" si="65"/>
        <v>199.97477781674999</v>
      </c>
      <c r="I149" s="33">
        <f t="shared" si="65"/>
        <v>205.97402115125249</v>
      </c>
      <c r="J149" s="33">
        <f t="shared" si="65"/>
        <v>212.15324178579007</v>
      </c>
      <c r="K149" s="33">
        <f t="shared" si="65"/>
        <v>218.51783903936376</v>
      </c>
      <c r="L149" s="33">
        <f t="shared" si="65"/>
        <v>225.0733742105447</v>
      </c>
      <c r="M149" s="33">
        <f t="shared" si="65"/>
        <v>231.82557543686104</v>
      </c>
      <c r="N149" s="33">
        <f t="shared" si="65"/>
        <v>238.78034269996689</v>
      </c>
      <c r="O149" s="33">
        <f t="shared" si="65"/>
        <v>245.94375298096588</v>
      </c>
      <c r="P149" s="33">
        <f t="shared" si="65"/>
        <v>253.32206557039487</v>
      </c>
      <c r="Q149" s="33">
        <f t="shared" si="65"/>
        <v>260.92172753750674</v>
      </c>
      <c r="R149" s="33">
        <f t="shared" si="65"/>
        <v>268.74937936363193</v>
      </c>
      <c r="S149" s="33">
        <f t="shared" si="65"/>
        <v>276.81186074454087</v>
      </c>
    </row>
    <row r="150" spans="1:21" x14ac:dyDescent="0.2">
      <c r="B150" s="11" t="s">
        <v>157</v>
      </c>
      <c r="C150" s="35" t="s">
        <v>38</v>
      </c>
      <c r="D150" s="35" t="s">
        <v>38</v>
      </c>
      <c r="E150" s="35" t="s">
        <v>38</v>
      </c>
      <c r="F150" s="35">
        <f>F149-F148</f>
        <v>24.586357499999991</v>
      </c>
      <c r="G150" s="35">
        <f t="shared" ref="G150:S150" si="66">G149-G148</f>
        <v>25.323948224999981</v>
      </c>
      <c r="H150" s="35">
        <f t="shared" si="66"/>
        <v>26.083666671749995</v>
      </c>
      <c r="I150" s="35">
        <f t="shared" si="66"/>
        <v>26.86617667190248</v>
      </c>
      <c r="J150" s="35">
        <f t="shared" si="66"/>
        <v>27.67216197205957</v>
      </c>
      <c r="K150" s="35">
        <f t="shared" si="66"/>
        <v>28.502326831221353</v>
      </c>
      <c r="L150" s="35">
        <f t="shared" si="66"/>
        <v>29.357396636158001</v>
      </c>
      <c r="M150" s="35">
        <f t="shared" si="66"/>
        <v>30.238118535242734</v>
      </c>
      <c r="N150" s="35">
        <f t="shared" si="66"/>
        <v>31.145262091300026</v>
      </c>
      <c r="O150" s="35">
        <f t="shared" si="66"/>
        <v>32.079619954039003</v>
      </c>
      <c r="P150" s="35">
        <f t="shared" si="66"/>
        <v>33.042008552660178</v>
      </c>
      <c r="Q150" s="35">
        <f t="shared" si="66"/>
        <v>34.033268809240013</v>
      </c>
      <c r="R150" s="35">
        <f t="shared" si="66"/>
        <v>35.054266873517207</v>
      </c>
      <c r="S150" s="35">
        <f t="shared" si="66"/>
        <v>36.105894879722683</v>
      </c>
    </row>
    <row r="151" spans="1:21" x14ac:dyDescent="0.2">
      <c r="B151" s="5"/>
      <c r="C151" s="50"/>
      <c r="D151" s="50"/>
      <c r="E151" s="50"/>
      <c r="F151" s="49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</row>
    <row r="152" spans="1:21" x14ac:dyDescent="0.2">
      <c r="B152" s="5"/>
      <c r="C152" s="50"/>
      <c r="D152" s="50"/>
      <c r="E152" s="50"/>
      <c r="F152" s="49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</row>
    <row r="153" spans="1:21" x14ac:dyDescent="0.2">
      <c r="B153" s="5"/>
      <c r="C153" s="5"/>
      <c r="D153" s="5"/>
      <c r="E153" s="50"/>
      <c r="F153" s="49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</row>
    <row r="154" spans="1:21" x14ac:dyDescent="0.2">
      <c r="B154" s="5"/>
      <c r="C154" s="5"/>
      <c r="D154" s="5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</row>
    <row r="155" spans="1:21" x14ac:dyDescent="0.2">
      <c r="B155" s="5"/>
      <c r="C155" s="5"/>
      <c r="D155" s="5"/>
      <c r="E155" s="50"/>
      <c r="F155" s="49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</row>
    <row r="156" spans="1:21" x14ac:dyDescent="0.2">
      <c r="B156" s="5"/>
      <c r="C156" s="5"/>
      <c r="D156" s="5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</row>
    <row r="157" spans="1:21" x14ac:dyDescent="0.2">
      <c r="B157" s="5"/>
      <c r="C157" s="5"/>
      <c r="D157" s="5"/>
      <c r="E157" s="50"/>
      <c r="F157" s="49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</row>
    <row r="158" spans="1:21" x14ac:dyDescent="0.2">
      <c r="B158" s="5"/>
      <c r="C158" s="5"/>
      <c r="D158" s="5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</row>
    <row r="159" spans="1:21" s="7" customFormat="1" x14ac:dyDescent="0.2">
      <c r="B159" s="5"/>
      <c r="C159" s="5"/>
      <c r="D159" s="5"/>
      <c r="E159" s="50"/>
      <c r="F159" s="49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1"/>
    </row>
    <row r="160" spans="1:21" x14ac:dyDescent="0.2">
      <c r="B160" s="5"/>
      <c r="C160" s="5"/>
      <c r="D160" s="5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</row>
    <row r="161" spans="2:19" x14ac:dyDescent="0.2">
      <c r="B161" s="5"/>
      <c r="C161" s="5"/>
      <c r="D161" s="5"/>
      <c r="E161" s="50"/>
      <c r="F161" s="49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</row>
    <row r="162" spans="2:19" x14ac:dyDescent="0.2">
      <c r="B162" s="5"/>
      <c r="C162" s="5"/>
      <c r="D162" s="5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</row>
    <row r="163" spans="2:19" x14ac:dyDescent="0.2">
      <c r="B163" s="5"/>
      <c r="C163" s="5"/>
      <c r="D163" s="5"/>
      <c r="E163" s="50"/>
      <c r="F163" s="49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</row>
    <row r="164" spans="2:19" x14ac:dyDescent="0.2">
      <c r="B164" s="5"/>
      <c r="C164" s="5"/>
      <c r="D164" s="5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</row>
    <row r="165" spans="2:19" x14ac:dyDescent="0.2">
      <c r="B165" s="5"/>
      <c r="C165" s="50"/>
      <c r="D165" s="50"/>
      <c r="E165" s="50"/>
      <c r="F165" s="49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</row>
    <row r="166" spans="2:19" x14ac:dyDescent="0.2"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</row>
    <row r="167" spans="2:19" x14ac:dyDescent="0.2">
      <c r="B167" s="5"/>
      <c r="C167" s="50"/>
      <c r="D167" s="50"/>
      <c r="E167" s="50"/>
      <c r="F167" s="49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</row>
    <row r="168" spans="2:19" x14ac:dyDescent="0.2"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</row>
    <row r="169" spans="2:19" x14ac:dyDescent="0.2">
      <c r="B169" s="5"/>
      <c r="C169" s="50"/>
      <c r="D169" s="50"/>
      <c r="E169" s="50"/>
      <c r="F169" s="49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</row>
    <row r="170" spans="2:19" x14ac:dyDescent="0.2"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</row>
    <row r="171" spans="2:19" x14ac:dyDescent="0.2">
      <c r="B171" s="5"/>
      <c r="C171" s="50"/>
      <c r="D171" s="50"/>
      <c r="E171" s="50"/>
      <c r="F171" s="49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</row>
    <row r="172" spans="2:19" x14ac:dyDescent="0.2"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</row>
    <row r="173" spans="2:19" x14ac:dyDescent="0.2">
      <c r="B173" s="5"/>
      <c r="C173" s="50"/>
      <c r="D173" s="50"/>
      <c r="E173" s="50"/>
      <c r="F173" s="49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</row>
    <row r="174" spans="2:19" x14ac:dyDescent="0.2"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</row>
    <row r="175" spans="2:19" x14ac:dyDescent="0.2">
      <c r="B175" s="5"/>
      <c r="C175" s="50"/>
      <c r="D175" s="50"/>
      <c r="E175" s="50"/>
      <c r="F175" s="49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</row>
    <row r="176" spans="2:19" x14ac:dyDescent="0.2"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</row>
    <row r="177" spans="2:19" x14ac:dyDescent="0.2">
      <c r="B177" s="5"/>
      <c r="C177" s="50"/>
      <c r="D177" s="50"/>
      <c r="E177" s="50"/>
      <c r="F177" s="49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</row>
    <row r="178" spans="2:19" x14ac:dyDescent="0.2"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</row>
    <row r="179" spans="2:19" x14ac:dyDescent="0.2">
      <c r="B179" s="5"/>
      <c r="C179" s="50"/>
      <c r="D179" s="50"/>
      <c r="E179" s="50"/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</row>
    <row r="180" spans="2:19" x14ac:dyDescent="0.2"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</row>
    <row r="181" spans="2:19" x14ac:dyDescent="0.2">
      <c r="B181" s="5"/>
      <c r="C181" s="50"/>
      <c r="D181" s="50"/>
      <c r="E181" s="50"/>
      <c r="F181" s="49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</row>
    <row r="182" spans="2:19" x14ac:dyDescent="0.2"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</row>
    <row r="183" spans="2:19" x14ac:dyDescent="0.2">
      <c r="B183" s="5"/>
      <c r="C183" s="50"/>
      <c r="D183" s="50"/>
      <c r="E183" s="50"/>
      <c r="F183" s="49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</row>
    <row r="184" spans="2:19" x14ac:dyDescent="0.2"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</row>
    <row r="185" spans="2:19" x14ac:dyDescent="0.2">
      <c r="B185" s="5"/>
      <c r="C185" s="50"/>
      <c r="D185" s="50"/>
      <c r="E185" s="50"/>
      <c r="F185" s="49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</row>
    <row r="186" spans="2:19" x14ac:dyDescent="0.2"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</row>
    <row r="187" spans="2:19" x14ac:dyDescent="0.2">
      <c r="B187" s="5"/>
      <c r="C187" s="50"/>
      <c r="D187" s="50"/>
      <c r="E187" s="50"/>
      <c r="F187" s="49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</row>
    <row r="188" spans="2:19" x14ac:dyDescent="0.2"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</row>
    <row r="189" spans="2:19" x14ac:dyDescent="0.2">
      <c r="B189" s="5"/>
      <c r="C189" s="50"/>
      <c r="D189" s="50"/>
      <c r="E189" s="50"/>
      <c r="F189" s="49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</row>
    <row r="190" spans="2:19" x14ac:dyDescent="0.2"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</row>
    <row r="191" spans="2:19" x14ac:dyDescent="0.2">
      <c r="B191" s="5"/>
      <c r="C191" s="50"/>
      <c r="D191" s="50"/>
      <c r="E191" s="50"/>
      <c r="F191" s="49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</row>
    <row r="192" spans="2:19" x14ac:dyDescent="0.2"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</row>
    <row r="193" spans="1:26" x14ac:dyDescent="0.2">
      <c r="B193" s="5"/>
      <c r="C193" s="50"/>
      <c r="D193" s="50"/>
      <c r="E193" s="50"/>
      <c r="F193" s="49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</row>
    <row r="194" spans="1:26" x14ac:dyDescent="0.2"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</row>
    <row r="195" spans="1:26" x14ac:dyDescent="0.2">
      <c r="B195" s="5"/>
      <c r="C195" s="50"/>
      <c r="D195" s="50"/>
      <c r="E195" s="50"/>
      <c r="F195" s="49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</row>
    <row r="196" spans="1:26" s="5" customFormat="1" x14ac:dyDescent="0.2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</row>
    <row r="197" spans="1:26" x14ac:dyDescent="0.2">
      <c r="B197" s="5"/>
      <c r="C197" s="50"/>
      <c r="D197" s="50"/>
      <c r="E197" s="50"/>
      <c r="F197" s="49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T197" s="29"/>
      <c r="U197" s="29"/>
      <c r="V197" s="29"/>
      <c r="W197" s="29"/>
      <c r="X197" s="29"/>
      <c r="Y197" s="29"/>
      <c r="Z197" s="29"/>
    </row>
    <row r="198" spans="1:26" x14ac:dyDescent="0.2"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</row>
    <row r="199" spans="1:26" x14ac:dyDescent="0.2">
      <c r="B199" s="5"/>
      <c r="C199" s="50"/>
      <c r="D199" s="50"/>
      <c r="E199" s="50"/>
      <c r="F199" s="49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</row>
    <row r="200" spans="1:26" x14ac:dyDescent="0.2"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</row>
    <row r="201" spans="1:26" x14ac:dyDescent="0.2">
      <c r="B201" s="5"/>
      <c r="C201" s="50"/>
      <c r="D201" s="50"/>
      <c r="E201" s="50"/>
      <c r="F201" s="49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</row>
    <row r="202" spans="1:26" x14ac:dyDescent="0.2"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</row>
    <row r="203" spans="1:26" x14ac:dyDescent="0.2">
      <c r="B203" s="5"/>
      <c r="C203" s="50"/>
      <c r="D203" s="50"/>
      <c r="E203" s="50"/>
      <c r="F203" s="49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</row>
    <row r="204" spans="1:26" x14ac:dyDescent="0.2"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</row>
    <row r="205" spans="1:26" x14ac:dyDescent="0.2">
      <c r="B205" s="5"/>
      <c r="C205" s="50"/>
      <c r="D205" s="50"/>
      <c r="E205" s="50"/>
      <c r="F205" s="49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</row>
    <row r="206" spans="1:26" x14ac:dyDescent="0.2"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</row>
    <row r="207" spans="1:26" x14ac:dyDescent="0.2">
      <c r="B207" s="5"/>
      <c r="C207" s="50"/>
      <c r="D207" s="50"/>
      <c r="E207" s="50"/>
      <c r="F207" s="49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</row>
    <row r="208" spans="1:26" x14ac:dyDescent="0.2"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</row>
    <row r="209" spans="1:19" s="5" customFormat="1" x14ac:dyDescent="0.2">
      <c r="A209" s="7"/>
      <c r="C209" s="50"/>
      <c r="D209" s="50"/>
      <c r="E209" s="50"/>
      <c r="F209" s="49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1"/>
    </row>
    <row r="210" spans="1:19" x14ac:dyDescent="0.2"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</row>
    <row r="211" spans="1:19" x14ac:dyDescent="0.2">
      <c r="B211" s="5"/>
      <c r="C211" s="50"/>
      <c r="D211" s="50"/>
      <c r="E211" s="50"/>
      <c r="F211" s="49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</row>
    <row r="212" spans="1:19" x14ac:dyDescent="0.2"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</row>
    <row r="213" spans="1:19" x14ac:dyDescent="0.2">
      <c r="B213" s="5"/>
      <c r="C213" s="50"/>
      <c r="D213" s="50"/>
      <c r="E213" s="50"/>
      <c r="F213" s="49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</row>
    <row r="214" spans="1:19" x14ac:dyDescent="0.2"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</row>
    <row r="215" spans="1:19" x14ac:dyDescent="0.2">
      <c r="B215" s="5"/>
      <c r="C215" s="50"/>
      <c r="D215" s="50"/>
      <c r="E215" s="50"/>
      <c r="F215" s="49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</row>
    <row r="216" spans="1:19" s="5" customFormat="1" x14ac:dyDescent="0.2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</row>
    <row r="217" spans="1:19" x14ac:dyDescent="0.2">
      <c r="B217" s="5"/>
      <c r="C217" s="50"/>
      <c r="D217" s="50"/>
      <c r="E217" s="50"/>
      <c r="F217" s="49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</row>
    <row r="218" spans="1:19" x14ac:dyDescent="0.2"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</row>
    <row r="219" spans="1:19" x14ac:dyDescent="0.2">
      <c r="B219" s="5"/>
      <c r="C219" s="50"/>
      <c r="D219" s="50"/>
      <c r="E219" s="50"/>
      <c r="F219" s="49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</row>
    <row r="220" spans="1:19" x14ac:dyDescent="0.2"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</row>
    <row r="221" spans="1:19" x14ac:dyDescent="0.2">
      <c r="B221" s="5"/>
      <c r="C221" s="50"/>
      <c r="D221" s="50"/>
      <c r="E221" s="50"/>
      <c r="F221" s="49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</row>
    <row r="222" spans="1:19" x14ac:dyDescent="0.2"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</row>
    <row r="223" spans="1:19" x14ac:dyDescent="0.2">
      <c r="B223" s="5"/>
      <c r="C223" s="50"/>
      <c r="D223" s="50"/>
      <c r="E223" s="50"/>
      <c r="F223" s="49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</row>
    <row r="224" spans="1:19" x14ac:dyDescent="0.2"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</row>
    <row r="225" spans="2:19" x14ac:dyDescent="0.2">
      <c r="B225" s="5"/>
      <c r="C225" s="50"/>
      <c r="D225" s="50"/>
      <c r="E225" s="50"/>
      <c r="F225" s="49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</row>
    <row r="226" spans="2:19" x14ac:dyDescent="0.2"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</row>
    <row r="227" spans="2:19" x14ac:dyDescent="0.2">
      <c r="B227" s="5"/>
      <c r="C227" s="50"/>
      <c r="D227" s="50"/>
      <c r="E227" s="50"/>
      <c r="F227" s="49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</row>
    <row r="228" spans="2:19" x14ac:dyDescent="0.2"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</row>
  </sheetData>
  <mergeCells count="17">
    <mergeCell ref="A12:C12"/>
    <mergeCell ref="B88:R88"/>
    <mergeCell ref="B90:R90"/>
    <mergeCell ref="B2:D2"/>
    <mergeCell ref="A2:A11"/>
    <mergeCell ref="E2:E12"/>
    <mergeCell ref="F7:I12"/>
    <mergeCell ref="F2:I2"/>
    <mergeCell ref="I3:I6"/>
    <mergeCell ref="B89:R89"/>
    <mergeCell ref="B3:C3"/>
    <mergeCell ref="A14:R14"/>
    <mergeCell ref="F4:G4"/>
    <mergeCell ref="F5:G5"/>
    <mergeCell ref="F6:G6"/>
    <mergeCell ref="F3:H3"/>
    <mergeCell ref="D3:D12"/>
  </mergeCells>
  <phoneticPr fontId="9" type="noConversion"/>
  <pageMargins left="0.7" right="0.7" top="0.75" bottom="0.75" header="0.3" footer="0.3"/>
  <ignoredErrors>
    <ignoredError sqref="Q59:R59" formulaRange="1"/>
    <ignoredError sqref="L27 G73:P73" formula="1"/>
    <ignoredError sqref="S11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E0CE4-B6D5-334E-8B5F-4192564CC968}">
  <dimension ref="A1:AQ68"/>
  <sheetViews>
    <sheetView zoomScaleNormal="25" workbookViewId="0">
      <selection activeCell="B1" sqref="B1:R2"/>
    </sheetView>
  </sheetViews>
  <sheetFormatPr baseColWidth="10" defaultRowHeight="16" x14ac:dyDescent="0.2"/>
  <cols>
    <col min="1" max="1" width="3.6640625" style="77" customWidth="1"/>
    <col min="2" max="2" width="29.33203125" customWidth="1"/>
    <col min="5" max="5" width="9.33203125" customWidth="1"/>
  </cols>
  <sheetData>
    <row r="1" spans="1:18" ht="37" customHeight="1" x14ac:dyDescent="0.2">
      <c r="B1" s="151" t="s">
        <v>163</v>
      </c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</row>
    <row r="2" spans="1:18" x14ac:dyDescent="0.2"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151"/>
      <c r="O2" s="151"/>
      <c r="P2" s="151"/>
      <c r="Q2" s="151"/>
      <c r="R2" s="151"/>
    </row>
    <row r="4" spans="1:18" x14ac:dyDescent="0.2">
      <c r="A4" s="78" t="s">
        <v>0</v>
      </c>
      <c r="B4" s="79" t="s">
        <v>121</v>
      </c>
    </row>
    <row r="5" spans="1:18" x14ac:dyDescent="0.2">
      <c r="B5" s="68" t="s">
        <v>24</v>
      </c>
      <c r="C5" s="68">
        <v>0.25</v>
      </c>
    </row>
    <row r="6" spans="1:18" x14ac:dyDescent="0.2">
      <c r="B6" s="74"/>
      <c r="C6" s="74"/>
    </row>
    <row r="7" spans="1:18" x14ac:dyDescent="0.2">
      <c r="B7" s="67" t="s">
        <v>115</v>
      </c>
      <c r="C7" s="67">
        <v>0</v>
      </c>
      <c r="D7" s="28">
        <v>1</v>
      </c>
      <c r="E7" s="28">
        <v>2</v>
      </c>
      <c r="F7" s="28">
        <v>3</v>
      </c>
      <c r="G7" s="28">
        <v>4</v>
      </c>
      <c r="H7" s="28">
        <v>5</v>
      </c>
      <c r="I7" s="28">
        <v>6</v>
      </c>
      <c r="J7" s="28">
        <v>7</v>
      </c>
      <c r="K7" s="28">
        <v>8</v>
      </c>
      <c r="L7" s="28">
        <v>9</v>
      </c>
      <c r="M7" s="28">
        <v>10</v>
      </c>
      <c r="N7" s="28">
        <v>11</v>
      </c>
      <c r="O7" s="28">
        <v>12</v>
      </c>
      <c r="P7" s="28">
        <v>13</v>
      </c>
      <c r="Q7" s="28">
        <v>14</v>
      </c>
      <c r="R7" s="28">
        <v>15</v>
      </c>
    </row>
    <row r="8" spans="1:18" x14ac:dyDescent="0.2">
      <c r="B8" s="3" t="s">
        <v>116</v>
      </c>
      <c r="C8" s="33">
        <v>0</v>
      </c>
      <c r="D8" s="33">
        <v>0</v>
      </c>
      <c r="E8" s="33">
        <v>0</v>
      </c>
      <c r="F8" s="33" cm="1">
        <f t="array" ref="F8:R8">Parameters!F19:R19</f>
        <v>1</v>
      </c>
      <c r="G8" s="33">
        <v>2</v>
      </c>
      <c r="H8" s="33">
        <v>3</v>
      </c>
      <c r="I8" s="33">
        <v>4</v>
      </c>
      <c r="J8" s="33">
        <v>5</v>
      </c>
      <c r="K8" s="33">
        <v>6</v>
      </c>
      <c r="L8" s="33">
        <v>7</v>
      </c>
      <c r="M8" s="33">
        <v>8</v>
      </c>
      <c r="N8" s="33">
        <v>9</v>
      </c>
      <c r="O8" s="33">
        <v>10</v>
      </c>
      <c r="P8" s="33">
        <v>11</v>
      </c>
      <c r="Q8" s="33">
        <v>11</v>
      </c>
      <c r="R8" s="33">
        <v>11</v>
      </c>
    </row>
    <row r="9" spans="1:18" x14ac:dyDescent="0.2">
      <c r="B9" s="3" t="s">
        <v>187</v>
      </c>
      <c r="C9" s="33">
        <v>0</v>
      </c>
      <c r="D9" s="33">
        <v>0</v>
      </c>
      <c r="E9" s="33">
        <v>0</v>
      </c>
      <c r="F9" s="33" cm="1">
        <f t="array" ref="F9:R9">Parameters!F20:R20</f>
        <v>60</v>
      </c>
      <c r="G9" s="33">
        <v>61.8</v>
      </c>
      <c r="H9" s="33">
        <v>63.65</v>
      </c>
      <c r="I9" s="33">
        <v>65.56</v>
      </c>
      <c r="J9" s="33">
        <v>67.53</v>
      </c>
      <c r="K9" s="33">
        <v>69.56</v>
      </c>
      <c r="L9" s="33">
        <v>71.64</v>
      </c>
      <c r="M9" s="33">
        <v>73.790000000000006</v>
      </c>
      <c r="N9" s="33">
        <v>76.010000000000005</v>
      </c>
      <c r="O9" s="33">
        <v>78.290000000000006</v>
      </c>
      <c r="P9" s="33">
        <v>80.63</v>
      </c>
      <c r="Q9" s="33">
        <v>83.05</v>
      </c>
      <c r="R9" s="33">
        <v>85.55</v>
      </c>
    </row>
    <row r="10" spans="1:18" x14ac:dyDescent="0.2">
      <c r="B10" s="102"/>
      <c r="C10" s="114"/>
      <c r="D10" s="114"/>
      <c r="E10" s="114"/>
      <c r="F10" s="114"/>
      <c r="G10" s="114"/>
      <c r="H10" s="114"/>
      <c r="I10" s="114"/>
      <c r="J10" s="114"/>
      <c r="K10" s="114"/>
      <c r="L10" s="114"/>
      <c r="M10" s="114"/>
      <c r="N10" s="114"/>
      <c r="O10" s="114"/>
      <c r="P10" s="114"/>
      <c r="Q10" s="114"/>
      <c r="R10" s="115"/>
    </row>
    <row r="11" spans="1:18" x14ac:dyDescent="0.2">
      <c r="B11" s="3" t="s">
        <v>77</v>
      </c>
      <c r="C11" s="33">
        <v>0</v>
      </c>
      <c r="D11" s="33">
        <v>0</v>
      </c>
      <c r="E11" s="33">
        <v>0</v>
      </c>
      <c r="F11" s="33" cm="1">
        <f t="array" ref="F11:R11">Parameters!F21:R21</f>
        <v>60</v>
      </c>
      <c r="G11" s="33">
        <v>123.6</v>
      </c>
      <c r="H11" s="33">
        <v>190.95</v>
      </c>
      <c r="I11" s="33">
        <v>262.24</v>
      </c>
      <c r="J11" s="33">
        <v>337.65</v>
      </c>
      <c r="K11" s="33">
        <v>417.36</v>
      </c>
      <c r="L11" s="33">
        <v>501.48</v>
      </c>
      <c r="M11" s="33">
        <v>590.32000000000005</v>
      </c>
      <c r="N11" s="33">
        <v>684.09</v>
      </c>
      <c r="O11" s="33">
        <v>782.90000000000009</v>
      </c>
      <c r="P11" s="33">
        <v>886.93</v>
      </c>
      <c r="Q11" s="33">
        <v>913.55</v>
      </c>
      <c r="R11" s="33">
        <v>941.05</v>
      </c>
    </row>
    <row r="12" spans="1:18" x14ac:dyDescent="0.2">
      <c r="B12" s="3" t="s">
        <v>184</v>
      </c>
      <c r="C12" s="33">
        <v>0</v>
      </c>
      <c r="D12" s="33">
        <v>0</v>
      </c>
      <c r="E12" s="33">
        <v>0</v>
      </c>
      <c r="F12" s="33" cm="1">
        <f t="array" ref="F12:R12">Parameters!F22:R22</f>
        <v>24</v>
      </c>
      <c r="G12" s="33">
        <v>49.44</v>
      </c>
      <c r="H12" s="33">
        <v>76.38</v>
      </c>
      <c r="I12" s="33">
        <v>104.89600000000002</v>
      </c>
      <c r="J12" s="33">
        <v>135.06</v>
      </c>
      <c r="K12" s="33">
        <v>166.94400000000002</v>
      </c>
      <c r="L12" s="33">
        <v>200.59200000000001</v>
      </c>
      <c r="M12" s="33">
        <v>236.12800000000004</v>
      </c>
      <c r="N12" s="33">
        <v>273.63600000000002</v>
      </c>
      <c r="O12" s="33">
        <v>313.16000000000008</v>
      </c>
      <c r="P12" s="33">
        <v>354.77199999999999</v>
      </c>
      <c r="Q12" s="33">
        <v>365.42</v>
      </c>
      <c r="R12" s="33">
        <v>376.42</v>
      </c>
    </row>
    <row r="13" spans="1:18" x14ac:dyDescent="0.2">
      <c r="B13" s="3" t="s">
        <v>179</v>
      </c>
      <c r="C13" s="33">
        <v>0</v>
      </c>
      <c r="D13" s="33">
        <v>0</v>
      </c>
      <c r="E13" s="33">
        <v>0</v>
      </c>
      <c r="F13" s="33" cm="1">
        <f t="array" ref="F13:R13">Parameters!F58:R58</f>
        <v>25</v>
      </c>
      <c r="G13" s="33">
        <v>35</v>
      </c>
      <c r="H13" s="33">
        <v>67.81</v>
      </c>
      <c r="I13" s="33">
        <v>78.418999999999997</v>
      </c>
      <c r="J13" s="33">
        <v>89.347269999999995</v>
      </c>
      <c r="K13" s="33">
        <v>100.6050881</v>
      </c>
      <c r="L13" s="33">
        <v>112.20274074300001</v>
      </c>
      <c r="M13" s="33">
        <v>124.14052296529002</v>
      </c>
      <c r="N13" s="33">
        <v>136.43873865424871</v>
      </c>
      <c r="O13" s="33">
        <v>121.42770081387617</v>
      </c>
      <c r="P13" s="33">
        <v>109.47773183829244</v>
      </c>
      <c r="Q13" s="33">
        <v>99.47999999999999</v>
      </c>
      <c r="R13" s="33">
        <v>89.179999999999993</v>
      </c>
    </row>
    <row r="14" spans="1:18" x14ac:dyDescent="0.2">
      <c r="B14" s="3" t="s">
        <v>185</v>
      </c>
      <c r="C14" s="33">
        <v>0</v>
      </c>
      <c r="D14" s="33">
        <v>0</v>
      </c>
      <c r="E14" s="33">
        <v>0</v>
      </c>
      <c r="F14" s="33" cm="1">
        <f t="array" ref="F14:R14">Parameters!F75:R75</f>
        <v>61.576250000000002</v>
      </c>
      <c r="G14" s="33">
        <v>67.155062500000014</v>
      </c>
      <c r="H14" s="33">
        <v>73.262815625000016</v>
      </c>
      <c r="I14" s="33">
        <v>79.950956406250029</v>
      </c>
      <c r="J14" s="33">
        <v>87.276004226562549</v>
      </c>
      <c r="K14" s="33">
        <v>95.30005443789068</v>
      </c>
      <c r="L14" s="33">
        <v>104.09133215978522</v>
      </c>
      <c r="M14" s="33">
        <v>113.7248012677745</v>
      </c>
      <c r="N14" s="33">
        <v>124.28283408116324</v>
      </c>
      <c r="O14" s="33">
        <v>135.85594781022141</v>
      </c>
      <c r="P14" s="33">
        <v>148.5436144282325</v>
      </c>
      <c r="Q14" s="33">
        <v>153.37705268954414</v>
      </c>
      <c r="R14" s="33">
        <v>158.37435059011835</v>
      </c>
    </row>
    <row r="15" spans="1:18" x14ac:dyDescent="0.2">
      <c r="B15" s="3" t="s">
        <v>186</v>
      </c>
      <c r="C15" s="33">
        <v>0</v>
      </c>
      <c r="D15" s="33">
        <v>0</v>
      </c>
      <c r="E15" s="33">
        <v>0</v>
      </c>
      <c r="F15" s="33" cm="1">
        <f t="array" ref="F15:R15">Parameters!F81:R81</f>
        <v>24.586357499999991</v>
      </c>
      <c r="G15" s="33">
        <v>25.323948224999981</v>
      </c>
      <c r="H15" s="33">
        <v>26.083666671749995</v>
      </c>
      <c r="I15" s="33">
        <v>26.86617667190248</v>
      </c>
      <c r="J15" s="33">
        <v>27.67216197205957</v>
      </c>
      <c r="K15" s="33">
        <v>28.502326831221353</v>
      </c>
      <c r="L15" s="33">
        <v>29.357396636158001</v>
      </c>
      <c r="M15" s="33">
        <v>30.238118535242734</v>
      </c>
      <c r="N15" s="33">
        <v>31.145262091300026</v>
      </c>
      <c r="O15" s="33">
        <v>32.079619954039003</v>
      </c>
      <c r="P15" s="33">
        <v>33.042008552660178</v>
      </c>
      <c r="Q15" s="33">
        <v>34.033268809240013</v>
      </c>
      <c r="R15" s="33">
        <v>35.054266873517207</v>
      </c>
    </row>
    <row r="16" spans="1:18" x14ac:dyDescent="0.2">
      <c r="B16" s="3" t="s">
        <v>118</v>
      </c>
      <c r="C16" s="33">
        <v>0</v>
      </c>
      <c r="D16" s="33">
        <v>0</v>
      </c>
      <c r="E16" s="33">
        <v>0</v>
      </c>
      <c r="F16" s="33">
        <f>SUM(F11-F12-F13-F14-F15)</f>
        <v>-75.162607499999993</v>
      </c>
      <c r="G16" s="33">
        <f>SUM(G11-G12-G13-G14-G15)</f>
        <v>-53.319010724999998</v>
      </c>
      <c r="H16" s="33">
        <f>SUM(H11-H12-H13-H14-H15)</f>
        <v>-52.58648229675002</v>
      </c>
      <c r="I16" s="33">
        <f>SUM(I11-I12-I13-I14-I15)</f>
        <v>-27.892133078152511</v>
      </c>
      <c r="J16" s="33">
        <f t="shared" ref="J16:Q16" si="0">SUM(J11-J12-J13-J14-J15)</f>
        <v>-1.705436198622138</v>
      </c>
      <c r="K16" s="33">
        <f t="shared" si="0"/>
        <v>26.008530630887975</v>
      </c>
      <c r="L16" s="33">
        <f t="shared" si="0"/>
        <v>55.236530461056816</v>
      </c>
      <c r="M16" s="33">
        <f t="shared" si="0"/>
        <v>86.088557231692761</v>
      </c>
      <c r="N16" s="33">
        <f t="shared" si="0"/>
        <v>118.58716517328804</v>
      </c>
      <c r="O16" s="33">
        <f t="shared" si="0"/>
        <v>180.37673142186341</v>
      </c>
      <c r="P16" s="33">
        <f t="shared" si="0"/>
        <v>241.09464518081475</v>
      </c>
      <c r="Q16" s="33">
        <f t="shared" si="0"/>
        <v>261.23967850121574</v>
      </c>
      <c r="R16" s="33">
        <f>SUM(R11-R12-R13-R14-R15)</f>
        <v>282.02138253636429</v>
      </c>
    </row>
    <row r="17" spans="1:43" ht="17" thickBot="1" x14ac:dyDescent="0.25">
      <c r="B17" s="24" t="s">
        <v>119</v>
      </c>
      <c r="C17" s="69">
        <v>0</v>
      </c>
      <c r="D17" s="69">
        <v>0</v>
      </c>
      <c r="E17" s="69">
        <v>0</v>
      </c>
      <c r="F17" s="69">
        <f>F16*C5</f>
        <v>-18.790651874999998</v>
      </c>
      <c r="G17" s="69">
        <f>G16*C5</f>
        <v>-13.32975268125</v>
      </c>
      <c r="H17" s="69">
        <f>H16*C5</f>
        <v>-13.146620574187505</v>
      </c>
      <c r="I17" s="69">
        <f>I16*C5</f>
        <v>-6.9730332695381279</v>
      </c>
      <c r="J17" s="69">
        <f>J16*C5</f>
        <v>-0.42635904965553451</v>
      </c>
      <c r="K17" s="69">
        <f>K16*C5</f>
        <v>6.5021326577219938</v>
      </c>
      <c r="L17" s="69">
        <f>L16*C5</f>
        <v>13.809132615264204</v>
      </c>
      <c r="M17" s="69">
        <f>M16*C5</f>
        <v>21.52213930792319</v>
      </c>
      <c r="N17" s="69">
        <f>N16*C5</f>
        <v>29.646791293322011</v>
      </c>
      <c r="O17" s="69">
        <f>O16*C5</f>
        <v>45.094182855465853</v>
      </c>
      <c r="P17" s="69">
        <f>P16*C5</f>
        <v>60.273661295203688</v>
      </c>
      <c r="Q17" s="69">
        <f>Q16*C5</f>
        <v>65.309919625303934</v>
      </c>
      <c r="R17" s="69">
        <f>R16*C5</f>
        <v>70.505345634091071</v>
      </c>
    </row>
    <row r="18" spans="1:43" ht="17" thickBot="1" x14ac:dyDescent="0.25">
      <c r="B18" s="90" t="s">
        <v>196</v>
      </c>
      <c r="C18" s="91">
        <v>0</v>
      </c>
      <c r="D18" s="72">
        <v>0</v>
      </c>
      <c r="E18" s="73">
        <v>0</v>
      </c>
      <c r="F18" s="84">
        <f>F16-F17</f>
        <v>-56.371955624999998</v>
      </c>
      <c r="G18" s="72">
        <f>G16-G17</f>
        <v>-39.989258043749999</v>
      </c>
      <c r="H18" s="72">
        <f t="shared" ref="H18:R18" si="1">H16-H17</f>
        <v>-39.439861722562512</v>
      </c>
      <c r="I18" s="72">
        <f t="shared" si="1"/>
        <v>-20.919099808614384</v>
      </c>
      <c r="J18" s="72">
        <f t="shared" si="1"/>
        <v>-1.2790771489666035</v>
      </c>
      <c r="K18" s="72">
        <f t="shared" si="1"/>
        <v>19.506397973165981</v>
      </c>
      <c r="L18" s="72">
        <f t="shared" si="1"/>
        <v>41.427397845792612</v>
      </c>
      <c r="M18" s="72">
        <f t="shared" si="1"/>
        <v>64.566417923769563</v>
      </c>
      <c r="N18" s="72">
        <f t="shared" si="1"/>
        <v>88.940373879966032</v>
      </c>
      <c r="O18" s="72">
        <f t="shared" si="1"/>
        <v>135.28254856639757</v>
      </c>
      <c r="P18" s="72">
        <f t="shared" si="1"/>
        <v>180.82098388561107</v>
      </c>
      <c r="Q18" s="72">
        <f t="shared" si="1"/>
        <v>195.9297588759118</v>
      </c>
      <c r="R18" s="73">
        <f t="shared" si="1"/>
        <v>211.51603690227321</v>
      </c>
    </row>
    <row r="19" spans="1:43" x14ac:dyDescent="0.2">
      <c r="B19" s="26" t="s">
        <v>197</v>
      </c>
      <c r="C19" s="70">
        <v>0</v>
      </c>
      <c r="D19" s="70">
        <v>0</v>
      </c>
      <c r="E19" s="70">
        <v>0</v>
      </c>
      <c r="F19" s="70" cm="1">
        <f t="array" ref="F19:R19">Parameters!F58:R58</f>
        <v>25</v>
      </c>
      <c r="G19" s="70">
        <v>35</v>
      </c>
      <c r="H19" s="70">
        <v>67.81</v>
      </c>
      <c r="I19" s="70">
        <v>78.418999999999997</v>
      </c>
      <c r="J19" s="70">
        <v>89.347269999999995</v>
      </c>
      <c r="K19" s="70">
        <v>100.6050881</v>
      </c>
      <c r="L19" s="70">
        <v>112.20274074300001</v>
      </c>
      <c r="M19" s="70">
        <v>124.14052296529002</v>
      </c>
      <c r="N19" s="70">
        <v>136.43873865424871</v>
      </c>
      <c r="O19" s="70">
        <v>121.42770081387617</v>
      </c>
      <c r="P19" s="70">
        <v>109.47773183829244</v>
      </c>
      <c r="Q19" s="70">
        <v>99.47999999999999</v>
      </c>
      <c r="R19" s="70">
        <v>89.179999999999993</v>
      </c>
    </row>
    <row r="20" spans="1:43" x14ac:dyDescent="0.2">
      <c r="B20" s="3" t="s">
        <v>198</v>
      </c>
      <c r="C20" s="70">
        <v>0</v>
      </c>
      <c r="D20" s="70">
        <v>0</v>
      </c>
      <c r="E20" s="70">
        <v>0</v>
      </c>
      <c r="F20" s="33">
        <f>SUM(Parameters!F75-Parameters!F74)*(1-'Finite Life'!C5)</f>
        <v>8.6821875000000013</v>
      </c>
      <c r="G20" s="33">
        <f>SUM(Parameters!G75-Parameters!G74)*(1-'Finite Life'!C5)</f>
        <v>9.1162968750000051</v>
      </c>
      <c r="H20" s="33">
        <f>SUM(Parameters!H75-Parameters!H74)*(1-'Finite Life'!C5)</f>
        <v>9.5721117187500013</v>
      </c>
      <c r="I20" s="33">
        <f>SUM(Parameters!I75-Parameters!I74)*(1-'Finite Life'!C5)</f>
        <v>10.050717304687502</v>
      </c>
      <c r="J20" s="33">
        <f>SUM(Parameters!J75-Parameters!J74)*(1-'Finite Life'!C5)</f>
        <v>10.553253169921881</v>
      </c>
      <c r="K20" s="33">
        <f>SUM(Parameters!K75-Parameters!K74)*(1-'Finite Life'!C5)</f>
        <v>11.080915828417972</v>
      </c>
      <c r="L20" s="33">
        <f>SUM(Parameters!L75-Parameters!L74)*(1-'Finite Life'!C5)</f>
        <v>11.634961619838872</v>
      </c>
      <c r="M20" s="33">
        <f>SUM(Parameters!M75-Parameters!M74)*(1-'Finite Life'!C5)</f>
        <v>12.216709700830815</v>
      </c>
      <c r="N20" s="33">
        <f>SUM(Parameters!N75-Parameters!N74)*(1-'Finite Life'!C5)</f>
        <v>12.82754518587236</v>
      </c>
      <c r="O20" s="33">
        <f>SUM(Parameters!O75-Parameters!O74)*(1-'Finite Life'!C5)</f>
        <v>13.468922445165973</v>
      </c>
      <c r="P20" s="33">
        <f>SUM(Parameters!P75-Parameters!P74)*(1-'Finite Life'!C5)</f>
        <v>14.142368567424278</v>
      </c>
      <c r="Q20" s="33">
        <f>SUM(Parameters!Q75-Parameters!Q74)*(1-'Finite Life'!C5)</f>
        <v>14.849486995795495</v>
      </c>
      <c r="R20" s="33">
        <f>SUM(Parameters!R75-Parameters!R74)*(1-'Finite Life'!C5)</f>
        <v>15.591961345585268</v>
      </c>
    </row>
    <row r="21" spans="1:43" x14ac:dyDescent="0.2">
      <c r="B21" s="3" t="s">
        <v>199</v>
      </c>
      <c r="C21" s="33">
        <v>250</v>
      </c>
      <c r="D21" s="70">
        <v>0</v>
      </c>
      <c r="E21" s="70">
        <v>0</v>
      </c>
      <c r="F21" s="33">
        <f>Parameters!F34</f>
        <v>100</v>
      </c>
      <c r="G21" s="33">
        <f>Parameters!G34</f>
        <v>103</v>
      </c>
      <c r="H21" s="33" cm="1">
        <f t="array" ref="H21:O21">Parameters!H34:O34</f>
        <v>106.09</v>
      </c>
      <c r="I21" s="33">
        <v>109.2727</v>
      </c>
      <c r="J21" s="33">
        <v>112.550881</v>
      </c>
      <c r="K21" s="33">
        <v>115.92740743</v>
      </c>
      <c r="L21" s="33">
        <v>119.4052296529</v>
      </c>
      <c r="M21" s="33">
        <v>122.987386542487</v>
      </c>
      <c r="N21" s="33">
        <v>126.67700813876162</v>
      </c>
      <c r="O21" s="33">
        <v>130.47731838292447</v>
      </c>
      <c r="P21" s="33">
        <v>0</v>
      </c>
      <c r="Q21" s="33">
        <v>0</v>
      </c>
      <c r="R21" s="33">
        <v>0</v>
      </c>
    </row>
    <row r="22" spans="1:43" x14ac:dyDescent="0.2">
      <c r="B22" s="3" t="s">
        <v>200</v>
      </c>
      <c r="C22" s="33">
        <v>0</v>
      </c>
      <c r="D22" s="70">
        <v>0</v>
      </c>
      <c r="E22" s="70">
        <v>0</v>
      </c>
      <c r="F22" s="70">
        <v>0</v>
      </c>
      <c r="G22" s="33">
        <f>Parameters!G40</f>
        <v>225.1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f>Parameters!N40</f>
        <v>276.85000000000002</v>
      </c>
      <c r="O22" s="33">
        <v>0</v>
      </c>
      <c r="P22" s="33">
        <v>0</v>
      </c>
      <c r="Q22" s="33">
        <v>0</v>
      </c>
      <c r="R22" s="33">
        <v>0</v>
      </c>
    </row>
    <row r="23" spans="1:43" x14ac:dyDescent="0.2">
      <c r="B23" s="3" t="s">
        <v>201</v>
      </c>
      <c r="C23" s="33">
        <v>0</v>
      </c>
      <c r="D23" s="70">
        <v>0</v>
      </c>
      <c r="E23" s="33">
        <v>-7.2</v>
      </c>
      <c r="F23" s="33" cm="1">
        <f t="array" ref="F23:Q23">Parameters!F68:Q68</f>
        <v>7.6319999999999988</v>
      </c>
      <c r="G23" s="33">
        <v>8.081999999999999</v>
      </c>
      <c r="H23" s="33">
        <v>8.5548000000000073</v>
      </c>
      <c r="I23" s="33">
        <v>9.0491999999999955</v>
      </c>
      <c r="J23" s="33">
        <v>9.5652000000000044</v>
      </c>
      <c r="K23" s="33">
        <v>10.094399999999993</v>
      </c>
      <c r="L23" s="33">
        <v>10.660800000000009</v>
      </c>
      <c r="M23" s="33">
        <v>11.252399999999994</v>
      </c>
      <c r="N23" s="33">
        <v>11.85720000000002</v>
      </c>
      <c r="O23" s="33">
        <v>12.483599999999967</v>
      </c>
      <c r="P23" s="33">
        <v>3.1944000000000159</v>
      </c>
      <c r="Q23" s="33">
        <v>3.3000000000000114</v>
      </c>
      <c r="R23" s="33">
        <v>0</v>
      </c>
    </row>
    <row r="24" spans="1:43" ht="17" thickBot="1" x14ac:dyDescent="0.25">
      <c r="B24" s="24" t="s">
        <v>202</v>
      </c>
      <c r="C24" s="33">
        <v>0</v>
      </c>
      <c r="D24" s="85">
        <v>0</v>
      </c>
      <c r="E24" s="70">
        <v>0</v>
      </c>
      <c r="F24" s="70">
        <v>0</v>
      </c>
      <c r="G24" s="70">
        <v>0</v>
      </c>
      <c r="H24" s="70">
        <v>0</v>
      </c>
      <c r="I24" s="70">
        <v>0</v>
      </c>
      <c r="J24" s="70">
        <v>0</v>
      </c>
      <c r="K24" s="70">
        <v>0</v>
      </c>
      <c r="L24" s="70">
        <v>0</v>
      </c>
      <c r="M24" s="70">
        <v>0</v>
      </c>
      <c r="N24" s="70">
        <v>0</v>
      </c>
      <c r="O24" s="70">
        <v>0</v>
      </c>
      <c r="P24" s="70">
        <v>0</v>
      </c>
      <c r="Q24" s="70">
        <v>0</v>
      </c>
      <c r="R24" s="69">
        <f>Parameters!C86</f>
        <v>457.67600000000004</v>
      </c>
      <c r="AK24" s="29"/>
      <c r="AL24" s="29"/>
      <c r="AM24" s="29"/>
      <c r="AN24" s="29"/>
      <c r="AO24" s="29"/>
      <c r="AP24" s="29"/>
      <c r="AQ24" s="29"/>
    </row>
    <row r="25" spans="1:43" ht="17" thickBot="1" x14ac:dyDescent="0.25">
      <c r="B25" s="71" t="s">
        <v>121</v>
      </c>
      <c r="C25" s="83">
        <v>-250</v>
      </c>
      <c r="D25" s="86">
        <v>0</v>
      </c>
      <c r="E25" s="84">
        <f>SUM(E19:E24)</f>
        <v>-7.2</v>
      </c>
      <c r="F25" s="72">
        <f>SUM(F18+F19+F20-F21-F23)</f>
        <v>-130.32176812500001</v>
      </c>
      <c r="G25" s="72">
        <f>SUM(G18+G19+G20-G21-G22-G23)</f>
        <v>-332.05496116874997</v>
      </c>
      <c r="H25" s="72">
        <f>SUM(H18+H19+H20-H21-H23)</f>
        <v>-76.702550003812519</v>
      </c>
      <c r="I25" s="72">
        <f t="shared" ref="I25:M25" si="2">SUM(I18+I19+I20-I21-I23)</f>
        <v>-50.771282503926884</v>
      </c>
      <c r="J25" s="72">
        <f t="shared" si="2"/>
        <v>-23.494634979044747</v>
      </c>
      <c r="K25" s="72">
        <f t="shared" si="2"/>
        <v>5.1705944715839678</v>
      </c>
      <c r="L25" s="72">
        <f t="shared" si="2"/>
        <v>35.199070555731467</v>
      </c>
      <c r="M25" s="72">
        <f t="shared" si="2"/>
        <v>66.683864047403404</v>
      </c>
      <c r="N25" s="72">
        <f>SUM(N18+N19+N20-N21+N22-N23)</f>
        <v>376.52244958132547</v>
      </c>
      <c r="O25" s="72">
        <f>SUM(O18+O19+O20-O21-O23)</f>
        <v>127.21825344251528</v>
      </c>
      <c r="P25" s="72">
        <f>SUM(P18+P19+P20-P23)</f>
        <v>301.24668429132777</v>
      </c>
      <c r="Q25" s="72">
        <f>SUM(Q18+Q19+Q20-Q23)</f>
        <v>306.95924587170725</v>
      </c>
      <c r="R25" s="73">
        <f>SUM(R18+R19+R20+R24)</f>
        <v>773.96399824785851</v>
      </c>
      <c r="AK25" s="29"/>
      <c r="AL25" s="29"/>
      <c r="AM25" s="29"/>
      <c r="AN25" s="29"/>
      <c r="AO25" s="29"/>
      <c r="AP25" s="29"/>
      <c r="AQ25" s="29"/>
    </row>
    <row r="26" spans="1:43" x14ac:dyDescent="0.2">
      <c r="AK26" s="29"/>
      <c r="AL26" s="29"/>
      <c r="AM26" s="29"/>
      <c r="AN26" s="29"/>
      <c r="AO26" s="29"/>
      <c r="AP26" s="29"/>
      <c r="AQ26" s="29"/>
    </row>
    <row r="27" spans="1:43" s="79" customFormat="1" x14ac:dyDescent="0.2">
      <c r="A27" s="78" t="s">
        <v>21</v>
      </c>
      <c r="B27" s="79" t="s">
        <v>213</v>
      </c>
      <c r="U27" s="82"/>
      <c r="V27" s="82"/>
      <c r="W27" s="82"/>
      <c r="X27" s="82"/>
      <c r="Y27" s="82"/>
      <c r="Z27" s="82"/>
      <c r="AA27" s="82"/>
      <c r="AB27" s="82"/>
      <c r="AC27" s="82"/>
      <c r="AD27" s="82"/>
      <c r="AE27" s="82"/>
      <c r="AF27" s="82"/>
      <c r="AG27" s="82"/>
      <c r="AH27" s="82"/>
      <c r="AI27" s="82"/>
      <c r="AJ27" s="82"/>
      <c r="AK27" s="82"/>
      <c r="AL27" s="82"/>
      <c r="AM27" s="82"/>
      <c r="AN27" s="82"/>
      <c r="AO27" s="82"/>
      <c r="AP27" s="82"/>
      <c r="AQ27" s="82"/>
    </row>
    <row r="28" spans="1:43" s="79" customFormat="1" x14ac:dyDescent="0.2">
      <c r="A28" s="78"/>
      <c r="U28" s="82"/>
      <c r="V28" s="82"/>
      <c r="W28" s="82"/>
      <c r="X28" s="82"/>
      <c r="Y28" s="82"/>
      <c r="Z28" s="82"/>
      <c r="AA28" s="82"/>
      <c r="AB28" s="82"/>
      <c r="AC28" s="82"/>
      <c r="AD28" s="82"/>
      <c r="AE28" s="82"/>
      <c r="AF28" s="82"/>
      <c r="AG28" s="82"/>
      <c r="AH28" s="82"/>
      <c r="AI28" s="82"/>
      <c r="AJ28" s="82"/>
      <c r="AK28" s="82"/>
      <c r="AL28" s="82"/>
      <c r="AM28" s="82"/>
      <c r="AN28" s="82"/>
      <c r="AO28" s="82"/>
      <c r="AP28" s="82"/>
      <c r="AQ28" s="82"/>
    </row>
    <row r="29" spans="1:43" x14ac:dyDescent="0.2">
      <c r="B29" s="61" t="s">
        <v>40</v>
      </c>
      <c r="C29" s="76">
        <f>'Hurdle Rate'!D8</f>
        <v>8.5500000000000007E-2</v>
      </c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</row>
    <row r="30" spans="1:43" x14ac:dyDescent="0.2">
      <c r="C30" s="75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</row>
    <row r="31" spans="1:43" x14ac:dyDescent="0.2">
      <c r="B31" s="149"/>
      <c r="C31" s="14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</row>
    <row r="32" spans="1:43" x14ac:dyDescent="0.2">
      <c r="B32" s="149"/>
      <c r="C32" s="14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</row>
    <row r="33" spans="1:43" x14ac:dyDescent="0.2">
      <c r="B33" s="149"/>
      <c r="C33" s="14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  <c r="AN33" s="29"/>
      <c r="AO33" s="29"/>
      <c r="AP33" s="29"/>
      <c r="AQ33" s="29"/>
    </row>
    <row r="34" spans="1:43" x14ac:dyDescent="0.2">
      <c r="B34" s="77"/>
      <c r="C34" s="77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29"/>
      <c r="AQ34" s="29"/>
    </row>
    <row r="35" spans="1:43" x14ac:dyDescent="0.2">
      <c r="B35" s="28" t="s">
        <v>115</v>
      </c>
      <c r="C35" s="31">
        <v>0</v>
      </c>
      <c r="D35" s="31">
        <v>1</v>
      </c>
      <c r="E35" s="31">
        <v>2</v>
      </c>
      <c r="F35" s="31">
        <v>3</v>
      </c>
      <c r="G35" s="31">
        <v>4</v>
      </c>
      <c r="H35" s="31">
        <v>5</v>
      </c>
      <c r="I35" s="31">
        <v>6</v>
      </c>
      <c r="J35" s="31">
        <v>7</v>
      </c>
      <c r="K35" s="31">
        <v>8</v>
      </c>
      <c r="L35" s="31">
        <v>9</v>
      </c>
      <c r="M35" s="31">
        <v>10</v>
      </c>
      <c r="N35" s="31">
        <v>11</v>
      </c>
      <c r="O35" s="31">
        <v>12</v>
      </c>
      <c r="P35" s="31">
        <v>13</v>
      </c>
      <c r="Q35" s="31">
        <v>14</v>
      </c>
      <c r="R35" s="31">
        <v>15</v>
      </c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</row>
    <row r="36" spans="1:43" x14ac:dyDescent="0.2">
      <c r="B36" s="64" t="s">
        <v>204</v>
      </c>
      <c r="C36" s="45" cm="1">
        <f t="array" ref="C36:R36">C25:R25</f>
        <v>-250</v>
      </c>
      <c r="D36" s="45">
        <v>0</v>
      </c>
      <c r="E36" s="45">
        <v>-7.2</v>
      </c>
      <c r="F36" s="45">
        <v>-130.32176812500001</v>
      </c>
      <c r="G36" s="45">
        <v>-332.05496116874997</v>
      </c>
      <c r="H36" s="45">
        <v>-76.702550003812519</v>
      </c>
      <c r="I36" s="45">
        <v>-50.771282503926884</v>
      </c>
      <c r="J36" s="45">
        <v>-23.494634979044747</v>
      </c>
      <c r="K36" s="45">
        <v>5.1705944715839678</v>
      </c>
      <c r="L36" s="45">
        <v>35.199070555731467</v>
      </c>
      <c r="M36" s="45">
        <v>66.683864047403404</v>
      </c>
      <c r="N36" s="45">
        <v>376.52244958132547</v>
      </c>
      <c r="O36" s="45">
        <v>127.21825344251528</v>
      </c>
      <c r="P36" s="45">
        <v>301.24668429132777</v>
      </c>
      <c r="Q36" s="45">
        <v>306.95924587170725</v>
      </c>
      <c r="R36" s="45">
        <v>773.96399824785851</v>
      </c>
    </row>
    <row r="37" spans="1:43" ht="17" thickBot="1" x14ac:dyDescent="0.25">
      <c r="B37" s="109" t="s">
        <v>203</v>
      </c>
      <c r="C37" s="69">
        <f>(1+C29)^0</f>
        <v>1</v>
      </c>
      <c r="D37" s="69">
        <f>(1+C29)^1</f>
        <v>1.0854999999999999</v>
      </c>
      <c r="E37" s="69">
        <f>(1+C29)^2</f>
        <v>1.1783102499999998</v>
      </c>
      <c r="F37" s="69">
        <f>(1+C29)^3</f>
        <v>1.2790557763749997</v>
      </c>
      <c r="G37" s="69">
        <f>(1+C29)^4</f>
        <v>1.3884150452550619</v>
      </c>
      <c r="H37" s="69">
        <f>(1+C29)^5</f>
        <v>1.5071245316243695</v>
      </c>
      <c r="I37" s="69">
        <f>(1+C29)^6</f>
        <v>1.6359836790782529</v>
      </c>
      <c r="J37" s="69">
        <f>(1+C29)^7</f>
        <v>1.7758602836394435</v>
      </c>
      <c r="K37" s="69">
        <f>(1+C29)^8</f>
        <v>1.9276963378906156</v>
      </c>
      <c r="L37" s="69">
        <f>(1+C29)^9</f>
        <v>2.0925143747802628</v>
      </c>
      <c r="M37" s="69">
        <f>(1+C29)^10</f>
        <v>2.2714243538239751</v>
      </c>
      <c r="N37" s="69">
        <f>(1+C29)^11</f>
        <v>2.4656311360759249</v>
      </c>
      <c r="O37" s="69">
        <f>(1+C29)^12</f>
        <v>2.6764425982104161</v>
      </c>
      <c r="P37" s="69">
        <f>(1+C29)^13</f>
        <v>2.9052784403574066</v>
      </c>
      <c r="Q37" s="69">
        <f>(1+C29)^14</f>
        <v>3.1536797470079643</v>
      </c>
      <c r="R37" s="69">
        <f>(1+C29)^15</f>
        <v>3.4233193653771452</v>
      </c>
    </row>
    <row r="38" spans="1:43" ht="17" thickBot="1" x14ac:dyDescent="0.25">
      <c r="B38" s="80" t="s">
        <v>205</v>
      </c>
      <c r="C38" s="72">
        <f>C36/C37</f>
        <v>-250</v>
      </c>
      <c r="D38" s="72">
        <f>D36/D37</f>
        <v>0</v>
      </c>
      <c r="E38" s="72">
        <f>E36/E37</f>
        <v>-6.1104450207405065</v>
      </c>
      <c r="F38" s="72">
        <f t="shared" ref="F38:R38" si="3">F36/F37</f>
        <v>-101.88904231709724</v>
      </c>
      <c r="G38" s="72">
        <f t="shared" si="3"/>
        <v>-239.16116603860993</v>
      </c>
      <c r="H38" s="72">
        <f t="shared" si="3"/>
        <v>-50.893306023718544</v>
      </c>
      <c r="I38" s="72">
        <f t="shared" si="3"/>
        <v>-31.03410086128272</v>
      </c>
      <c r="J38" s="72">
        <f t="shared" si="3"/>
        <v>-13.23000192948451</v>
      </c>
      <c r="K38" s="72">
        <f t="shared" si="3"/>
        <v>2.6822660654332613</v>
      </c>
      <c r="L38" s="72">
        <f t="shared" si="3"/>
        <v>16.821423537139506</v>
      </c>
      <c r="M38" s="72">
        <f t="shared" si="3"/>
        <v>29.357730507353313</v>
      </c>
      <c r="N38" s="72">
        <f t="shared" si="3"/>
        <v>152.70834476099475</v>
      </c>
      <c r="O38" s="72">
        <f t="shared" si="3"/>
        <v>47.53259177969251</v>
      </c>
      <c r="P38" s="72">
        <f t="shared" si="3"/>
        <v>103.68943647765083</v>
      </c>
      <c r="Q38" s="72">
        <f t="shared" si="3"/>
        <v>97.333677004753923</v>
      </c>
      <c r="R38" s="73">
        <f t="shared" si="3"/>
        <v>226.08582946586736</v>
      </c>
    </row>
    <row r="39" spans="1:43" ht="17" thickBot="1" x14ac:dyDescent="0.25"/>
    <row r="40" spans="1:43" ht="17" thickBot="1" x14ac:dyDescent="0.25">
      <c r="B40" s="80" t="s">
        <v>206</v>
      </c>
      <c r="C40" s="81">
        <f>SUM(C38:R38)</f>
        <v>-16.106762592047971</v>
      </c>
    </row>
    <row r="41" spans="1:43" ht="17" thickBot="1" x14ac:dyDescent="0.25"/>
    <row r="42" spans="1:43" s="79" customFormat="1" ht="17" thickBot="1" x14ac:dyDescent="0.25">
      <c r="A42" s="78"/>
      <c r="B42" s="88" t="s">
        <v>207</v>
      </c>
      <c r="C42" s="89">
        <f>IRR(C36:R36)</f>
        <v>8.3052522814480501E-2</v>
      </c>
    </row>
    <row r="44" spans="1:43" s="79" customFormat="1" x14ac:dyDescent="0.2">
      <c r="A44" s="78" t="s">
        <v>39</v>
      </c>
      <c r="B44" s="79" t="s">
        <v>68</v>
      </c>
    </row>
    <row r="45" spans="1:43" s="79" customFormat="1" x14ac:dyDescent="0.2">
      <c r="A45" s="78"/>
    </row>
    <row r="46" spans="1:43" s="79" customFormat="1" x14ac:dyDescent="0.2">
      <c r="A46" s="78"/>
      <c r="B46" s="97" t="s">
        <v>40</v>
      </c>
      <c r="C46" s="93">
        <f>'Hurdle Rate'!C8</f>
        <v>0.1368</v>
      </c>
    </row>
    <row r="47" spans="1:43" s="79" customFormat="1" x14ac:dyDescent="0.2">
      <c r="A47" s="78"/>
      <c r="B47" s="100"/>
      <c r="C47" s="101"/>
    </row>
    <row r="48" spans="1:43" s="79" customFormat="1" x14ac:dyDescent="0.2">
      <c r="A48" s="78"/>
      <c r="B48" s="150"/>
      <c r="C48" s="150"/>
    </row>
    <row r="49" spans="1:18" s="79" customFormat="1" x14ac:dyDescent="0.2">
      <c r="A49" s="78"/>
      <c r="B49" s="150"/>
      <c r="C49" s="150"/>
    </row>
    <row r="50" spans="1:18" s="79" customFormat="1" x14ac:dyDescent="0.2">
      <c r="A50" s="78"/>
      <c r="B50" s="150"/>
      <c r="C50" s="150"/>
    </row>
    <row r="51" spans="1:18" s="79" customFormat="1" x14ac:dyDescent="0.2">
      <c r="A51" s="78"/>
    </row>
    <row r="52" spans="1:18" s="79" customFormat="1" x14ac:dyDescent="0.2">
      <c r="A52" s="78"/>
      <c r="B52" s="28" t="s">
        <v>115</v>
      </c>
      <c r="C52" s="31">
        <v>0</v>
      </c>
      <c r="D52" s="31">
        <v>1</v>
      </c>
      <c r="E52" s="31">
        <v>2</v>
      </c>
      <c r="F52" s="31">
        <v>3</v>
      </c>
      <c r="G52" s="31">
        <v>4</v>
      </c>
      <c r="H52" s="31">
        <v>5</v>
      </c>
      <c r="I52" s="31">
        <v>6</v>
      </c>
      <c r="J52" s="31">
        <v>7</v>
      </c>
      <c r="K52" s="31">
        <v>8</v>
      </c>
      <c r="L52" s="31">
        <v>9</v>
      </c>
      <c r="M52" s="31">
        <v>10</v>
      </c>
      <c r="N52" s="31">
        <v>11</v>
      </c>
      <c r="O52" s="31">
        <v>12</v>
      </c>
      <c r="P52" s="31">
        <v>13</v>
      </c>
      <c r="Q52" s="31">
        <v>14</v>
      </c>
      <c r="R52" s="31">
        <v>15</v>
      </c>
    </row>
    <row r="53" spans="1:18" x14ac:dyDescent="0.2">
      <c r="B53" s="87" t="s">
        <v>116</v>
      </c>
      <c r="C53" s="33" cm="1">
        <f t="array" ref="C53:R53">Parameters!C26:R26</f>
        <v>0</v>
      </c>
      <c r="D53" s="33">
        <v>0</v>
      </c>
      <c r="E53" s="33">
        <v>0</v>
      </c>
      <c r="F53" s="33">
        <v>1</v>
      </c>
      <c r="G53" s="33">
        <v>2</v>
      </c>
      <c r="H53" s="33">
        <v>3</v>
      </c>
      <c r="I53" s="33">
        <v>4</v>
      </c>
      <c r="J53" s="33">
        <v>5</v>
      </c>
      <c r="K53" s="33">
        <v>6</v>
      </c>
      <c r="L53" s="33">
        <v>7</v>
      </c>
      <c r="M53" s="33">
        <v>8</v>
      </c>
      <c r="N53" s="33">
        <v>9</v>
      </c>
      <c r="O53" s="33">
        <v>10</v>
      </c>
      <c r="P53" s="33">
        <v>11</v>
      </c>
      <c r="Q53" s="33">
        <v>11</v>
      </c>
      <c r="R53" s="33">
        <v>11</v>
      </c>
    </row>
    <row r="54" spans="1:18" x14ac:dyDescent="0.2">
      <c r="B54" s="87" t="s">
        <v>214</v>
      </c>
      <c r="C54" s="33" cm="1">
        <f t="array" ref="C54:R54">Parameters!C27:R27</f>
        <v>50</v>
      </c>
      <c r="D54" s="33">
        <v>51.5</v>
      </c>
      <c r="E54" s="33">
        <v>53.045000000000002</v>
      </c>
      <c r="F54" s="33">
        <v>54.63635</v>
      </c>
      <c r="G54" s="33">
        <v>56.275440500000002</v>
      </c>
      <c r="H54" s="33">
        <v>57.963703715000001</v>
      </c>
      <c r="I54" s="33">
        <v>59.702614826450002</v>
      </c>
      <c r="J54" s="33">
        <v>61.493693271243501</v>
      </c>
      <c r="K54" s="33">
        <v>63.338504069380811</v>
      </c>
      <c r="L54" s="33">
        <v>65.238659191462233</v>
      </c>
      <c r="M54" s="33">
        <v>67.195818967206108</v>
      </c>
      <c r="N54" s="33">
        <v>69.211693536222299</v>
      </c>
      <c r="O54" s="33">
        <v>71.288044342308964</v>
      </c>
      <c r="P54" s="33">
        <v>73.42668567257823</v>
      </c>
      <c r="Q54" s="33">
        <v>75.629486242755576</v>
      </c>
      <c r="R54" s="33">
        <v>77.898370830038246</v>
      </c>
    </row>
    <row r="55" spans="1:18" x14ac:dyDescent="0.2">
      <c r="B55" s="87" t="s">
        <v>215</v>
      </c>
      <c r="C55" s="33" cm="1">
        <f t="array" ref="C55:R55">Parameters!C28:R28</f>
        <v>0</v>
      </c>
      <c r="D55" s="33">
        <v>0</v>
      </c>
      <c r="E55" s="33">
        <v>0</v>
      </c>
      <c r="F55" s="33">
        <v>54.63635</v>
      </c>
      <c r="G55" s="33">
        <v>112.550881</v>
      </c>
      <c r="H55" s="33">
        <v>173.891111145</v>
      </c>
      <c r="I55" s="33">
        <v>238.81045930580001</v>
      </c>
      <c r="J55" s="33">
        <v>307.4684663562175</v>
      </c>
      <c r="K55" s="33">
        <v>380.03102441628488</v>
      </c>
      <c r="L55" s="33">
        <v>456.6706143402356</v>
      </c>
      <c r="M55" s="33">
        <v>537.56655173764887</v>
      </c>
      <c r="N55" s="33">
        <v>622.90524182600075</v>
      </c>
      <c r="O55" s="33">
        <v>712.88044342308967</v>
      </c>
      <c r="P55" s="33">
        <v>807.69354239836048</v>
      </c>
      <c r="Q55" s="33">
        <v>831.92434867031136</v>
      </c>
      <c r="R55" s="33">
        <v>856.88207913042072</v>
      </c>
    </row>
    <row r="56" spans="1:18" x14ac:dyDescent="0.2">
      <c r="B56" s="87" t="s">
        <v>219</v>
      </c>
      <c r="C56" s="33" cm="1">
        <f t="array" ref="C56:R56">Parameters!C29:R29</f>
        <v>0</v>
      </c>
      <c r="D56" s="33">
        <v>0</v>
      </c>
      <c r="E56" s="33">
        <v>0</v>
      </c>
      <c r="F56" s="33">
        <v>9.2936431349999999</v>
      </c>
      <c r="G56" s="33">
        <v>19.144904858100002</v>
      </c>
      <c r="H56" s="33">
        <v>29.578878005764501</v>
      </c>
      <c r="I56" s="33">
        <v>40.62165912791658</v>
      </c>
      <c r="J56" s="33">
        <v>52.300386127192596</v>
      </c>
      <c r="K56" s="33">
        <v>64.643277253210059</v>
      </c>
      <c r="L56" s="33">
        <v>77.679671499274079</v>
      </c>
      <c r="M56" s="33">
        <v>91.440070450574069</v>
      </c>
      <c r="N56" s="33">
        <v>105.95618163460273</v>
      </c>
      <c r="O56" s="33">
        <v>121.26096342626755</v>
      </c>
      <c r="P56" s="33">
        <v>137.38867156196113</v>
      </c>
      <c r="Q56" s="33">
        <v>141.51033170881996</v>
      </c>
      <c r="R56" s="33">
        <v>145.75564166008456</v>
      </c>
    </row>
    <row r="57" spans="1:18" x14ac:dyDescent="0.2">
      <c r="B57" s="87" t="s">
        <v>221</v>
      </c>
      <c r="C57" s="33">
        <f>C56*(1-C5)</f>
        <v>0</v>
      </c>
      <c r="D57" s="33">
        <f>D56*(1-C5)</f>
        <v>0</v>
      </c>
      <c r="E57" s="33">
        <f>E56*(1-C5)</f>
        <v>0</v>
      </c>
      <c r="F57" s="33">
        <f>F56*(1-C5)</f>
        <v>6.97023235125</v>
      </c>
      <c r="G57" s="33">
        <f>G56*(1-C5)</f>
        <v>14.358678643575001</v>
      </c>
      <c r="H57" s="33">
        <f>H56*(1-C5)</f>
        <v>22.184158504323378</v>
      </c>
      <c r="I57" s="33">
        <f>I56*(1-C5)</f>
        <v>30.466244345937433</v>
      </c>
      <c r="J57" s="33">
        <f>J56*(1-C5)</f>
        <v>39.225289595394443</v>
      </c>
      <c r="K57" s="33">
        <f>K56*(1-C5)</f>
        <v>48.482457939907547</v>
      </c>
      <c r="L57" s="33">
        <f>L56*(1-C5)</f>
        <v>58.259753624455556</v>
      </c>
      <c r="M57" s="33">
        <f>M56*(1-C5)</f>
        <v>68.580052837930552</v>
      </c>
      <c r="N57" s="33">
        <f>N56*(1-C5)</f>
        <v>79.467136225952046</v>
      </c>
      <c r="O57" s="33">
        <f>O56*(1-C5)</f>
        <v>90.945722569700663</v>
      </c>
      <c r="P57" s="33">
        <f>P56*(1-C5)</f>
        <v>103.04150367147085</v>
      </c>
      <c r="Q57" s="33">
        <f>Q56*(1-C5)</f>
        <v>106.13274878161496</v>
      </c>
      <c r="R57" s="33">
        <f>R56*(1-C5)</f>
        <v>109.31673124506342</v>
      </c>
    </row>
    <row r="58" spans="1:18" x14ac:dyDescent="0.2">
      <c r="B58" s="87" t="s">
        <v>229</v>
      </c>
      <c r="C58" s="33" cm="1">
        <f t="array" ref="C58:R58">C57:R57</f>
        <v>0</v>
      </c>
      <c r="D58" s="33">
        <v>0</v>
      </c>
      <c r="E58" s="33">
        <v>0</v>
      </c>
      <c r="F58" s="33">
        <v>6.97023235125</v>
      </c>
      <c r="G58" s="33">
        <v>14.358678643575001</v>
      </c>
      <c r="H58" s="33">
        <v>22.184158504323378</v>
      </c>
      <c r="I58" s="33">
        <v>30.466244345937433</v>
      </c>
      <c r="J58" s="33">
        <v>39.225289595394443</v>
      </c>
      <c r="K58" s="33">
        <v>48.482457939907547</v>
      </c>
      <c r="L58" s="33">
        <v>58.259753624455556</v>
      </c>
      <c r="M58" s="33">
        <v>68.580052837930552</v>
      </c>
      <c r="N58" s="33">
        <v>79.467136225952046</v>
      </c>
      <c r="O58" s="33">
        <v>90.945722569700663</v>
      </c>
      <c r="P58" s="33">
        <v>103.04150367147085</v>
      </c>
      <c r="Q58" s="33">
        <v>106.13274878161496</v>
      </c>
      <c r="R58" s="33">
        <v>109.31673124506342</v>
      </c>
    </row>
    <row r="59" spans="1:18" x14ac:dyDescent="0.2">
      <c r="B59" s="98" t="s">
        <v>220</v>
      </c>
      <c r="C59" s="35">
        <f>C58/(1+C46)^0</f>
        <v>0</v>
      </c>
      <c r="D59" s="35">
        <f>D58/(1+C46)^1</f>
        <v>0</v>
      </c>
      <c r="E59" s="35">
        <f>E58/(1+C46)^2</f>
        <v>0</v>
      </c>
      <c r="F59" s="35">
        <f>F58/(1+C46)^3</f>
        <v>4.7445503597507015</v>
      </c>
      <c r="G59" s="35">
        <f>G58/(1+C46)^4</f>
        <v>8.5976194063040534</v>
      </c>
      <c r="H59" s="35">
        <f>H58/(1+C46)^5</f>
        <v>11.684836367645815</v>
      </c>
      <c r="I59" s="35">
        <f>I58/(1+C46)^6</f>
        <v>14.116093664878239</v>
      </c>
      <c r="J59" s="35">
        <f>J58/(1+C46)^7</f>
        <v>15.987394962641389</v>
      </c>
      <c r="K59" s="35">
        <f>K58/(1+C46)^8</f>
        <v>17.382494874933819</v>
      </c>
      <c r="L59" s="35">
        <f>L58/(1+C46)^9</f>
        <v>18.374353162132415</v>
      </c>
      <c r="M59" s="35">
        <f>M58/(1+C46)^10</f>
        <v>19.026423803153104</v>
      </c>
      <c r="N59" s="35">
        <f>N58/(1+C46)^11</f>
        <v>19.393797133975777</v>
      </c>
      <c r="O59" s="35">
        <f>O58/(1+C46)^12</f>
        <v>19.524211283129105</v>
      </c>
      <c r="P59" s="35">
        <f>P58/(1+C46)^13</f>
        <v>19.458947381936376</v>
      </c>
      <c r="Q59" s="35">
        <f>Q58/(1+C46)^14</f>
        <v>17.630819672232992</v>
      </c>
      <c r="R59" s="35">
        <f>R58/(1+C46)^15</f>
        <v>15.974440765657972</v>
      </c>
    </row>
    <row r="60" spans="1:18" ht="17" thickBot="1" x14ac:dyDescent="0.25">
      <c r="B60" s="29"/>
      <c r="C60" s="50"/>
      <c r="D60" s="50"/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</row>
    <row r="61" spans="1:18" ht="17" thickBot="1" x14ac:dyDescent="0.25">
      <c r="B61" s="99" t="s">
        <v>224</v>
      </c>
      <c r="C61" s="73">
        <f>SUM(C59:R59)</f>
        <v>201.89598283837176</v>
      </c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</row>
    <row r="62" spans="1:18" ht="17" thickBot="1" x14ac:dyDescent="0.25">
      <c r="C62" s="50"/>
      <c r="D62" s="50"/>
      <c r="E62" s="50"/>
      <c r="F62" s="50"/>
      <c r="G62" s="50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</row>
    <row r="63" spans="1:18" ht="17" thickBot="1" x14ac:dyDescent="0.25">
      <c r="B63" s="99" t="s">
        <v>223</v>
      </c>
      <c r="C63" s="73">
        <f>C40+C61</f>
        <v>185.78922024632379</v>
      </c>
      <c r="D63" s="50"/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</row>
    <row r="64" spans="1:18" x14ac:dyDescent="0.2">
      <c r="B64" s="29"/>
      <c r="C64" s="50"/>
      <c r="D64" s="50"/>
      <c r="E64" s="50"/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</row>
    <row r="65" spans="2:18" x14ac:dyDescent="0.2">
      <c r="B65" s="29"/>
      <c r="C65" s="50"/>
      <c r="D65" s="50"/>
      <c r="E65" s="50"/>
      <c r="F65" s="50"/>
      <c r="G65" s="50"/>
      <c r="H65" s="50"/>
      <c r="I65" s="50"/>
      <c r="J65" s="50"/>
      <c r="K65" s="50"/>
      <c r="L65" s="50"/>
      <c r="M65" s="50"/>
      <c r="N65" s="50"/>
      <c r="O65" s="50"/>
      <c r="P65" s="50"/>
      <c r="Q65" s="50"/>
      <c r="R65" s="50"/>
    </row>
    <row r="66" spans="2:18" x14ac:dyDescent="0.2">
      <c r="C66" s="50"/>
      <c r="D66" s="50"/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</row>
    <row r="67" spans="2:18" x14ac:dyDescent="0.2">
      <c r="C67" s="50"/>
      <c r="D67" s="50"/>
      <c r="E67" s="50"/>
      <c r="F67" s="50"/>
      <c r="G67" s="50"/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/>
    </row>
    <row r="68" spans="2:18" x14ac:dyDescent="0.2">
      <c r="C68" s="50"/>
      <c r="D68" s="50"/>
      <c r="E68" s="50"/>
      <c r="F68" s="50"/>
      <c r="G68" s="50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</row>
  </sheetData>
  <mergeCells count="3">
    <mergeCell ref="B31:C33"/>
    <mergeCell ref="B48:C50"/>
    <mergeCell ref="B1:R2"/>
  </mergeCells>
  <pageMargins left="0.7" right="0.7" top="0.75" bottom="0.75" header="0.3" footer="0.3"/>
  <pageSetup paperSize="9" orientation="portrait" horizontalDpi="0" verticalDpi="0"/>
  <ignoredErrors>
    <ignoredError sqref="G25 N25" formula="1"/>
    <ignoredError sqref="E25" formulaRange="1"/>
  </ignoredError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50EFB-FA09-EC4C-BBE5-862FCC3728D1}">
  <dimension ref="A1:S78"/>
  <sheetViews>
    <sheetView zoomScale="111" zoomScaleNormal="290" workbookViewId="0">
      <selection activeCell="B1" sqref="B1:S2"/>
    </sheetView>
  </sheetViews>
  <sheetFormatPr baseColWidth="10" defaultRowHeight="16" x14ac:dyDescent="0.2"/>
  <cols>
    <col min="1" max="1" width="5.1640625" style="105" customWidth="1"/>
    <col min="2" max="2" width="27.33203125" style="29" customWidth="1"/>
    <col min="3" max="17" width="10.83203125" style="29"/>
    <col min="18" max="18" width="13.1640625" style="29" customWidth="1"/>
    <col min="19" max="16384" width="10.83203125" style="29"/>
  </cols>
  <sheetData>
    <row r="1" spans="1:19" ht="31" customHeight="1" x14ac:dyDescent="0.2">
      <c r="B1" s="152" t="s">
        <v>165</v>
      </c>
      <c r="C1" s="152"/>
      <c r="D1" s="152"/>
      <c r="E1" s="152"/>
      <c r="F1" s="152"/>
      <c r="G1" s="152"/>
      <c r="H1" s="152"/>
      <c r="I1" s="152"/>
      <c r="J1" s="152"/>
      <c r="K1" s="152"/>
      <c r="L1" s="152"/>
      <c r="M1" s="152"/>
      <c r="N1" s="152"/>
      <c r="O1" s="152"/>
      <c r="P1" s="152"/>
      <c r="Q1" s="152"/>
      <c r="R1" s="152"/>
      <c r="S1" s="152"/>
    </row>
    <row r="2" spans="1:19" x14ac:dyDescent="0.2">
      <c r="B2" s="152"/>
      <c r="C2" s="152"/>
      <c r="D2" s="152"/>
      <c r="E2" s="152"/>
      <c r="F2" s="152"/>
      <c r="G2" s="152"/>
      <c r="H2" s="152"/>
      <c r="I2" s="152"/>
      <c r="J2" s="152"/>
      <c r="K2" s="152"/>
      <c r="L2" s="152"/>
      <c r="M2" s="152"/>
      <c r="N2" s="152"/>
      <c r="O2" s="152"/>
      <c r="P2" s="152"/>
      <c r="Q2" s="152"/>
      <c r="R2" s="152"/>
      <c r="S2" s="152"/>
    </row>
    <row r="3" spans="1:19" s="82" customFormat="1" x14ac:dyDescent="0.2">
      <c r="A3" s="105" t="s">
        <v>0</v>
      </c>
      <c r="B3" s="82" t="s">
        <v>121</v>
      </c>
    </row>
    <row r="4" spans="1:19" x14ac:dyDescent="0.2">
      <c r="B4" s="87" t="s">
        <v>24</v>
      </c>
      <c r="C4" s="68">
        <v>0.25</v>
      </c>
    </row>
    <row r="5" spans="1:19" x14ac:dyDescent="0.2">
      <c r="B5" s="61" t="s">
        <v>40</v>
      </c>
      <c r="C5" s="76">
        <f>'Hurdle Rate'!D8</f>
        <v>8.5500000000000007E-2</v>
      </c>
    </row>
    <row r="6" spans="1:19" x14ac:dyDescent="0.2">
      <c r="B6" s="61" t="s">
        <v>188</v>
      </c>
      <c r="C6" s="76">
        <f>Parameters!C4</f>
        <v>0.03</v>
      </c>
    </row>
    <row r="7" spans="1:19" x14ac:dyDescent="0.2">
      <c r="B7" s="61"/>
      <c r="C7" s="76"/>
    </row>
    <row r="8" spans="1:19" x14ac:dyDescent="0.2">
      <c r="B8" s="87"/>
      <c r="C8" s="68"/>
    </row>
    <row r="9" spans="1:19" x14ac:dyDescent="0.2">
      <c r="B9" s="28" t="s">
        <v>115</v>
      </c>
      <c r="C9" s="31">
        <v>0</v>
      </c>
      <c r="D9" s="31">
        <v>1</v>
      </c>
      <c r="E9" s="31">
        <v>2</v>
      </c>
      <c r="F9" s="31">
        <v>3</v>
      </c>
      <c r="G9" s="31">
        <v>4</v>
      </c>
      <c r="H9" s="31">
        <v>5</v>
      </c>
      <c r="I9" s="31">
        <v>6</v>
      </c>
      <c r="J9" s="31">
        <v>7</v>
      </c>
      <c r="K9" s="31">
        <v>8</v>
      </c>
      <c r="L9" s="31">
        <v>9</v>
      </c>
      <c r="M9" s="31">
        <v>10</v>
      </c>
      <c r="N9" s="31">
        <v>11</v>
      </c>
      <c r="O9" s="31">
        <v>12</v>
      </c>
      <c r="P9" s="31">
        <v>13</v>
      </c>
      <c r="Q9" s="31">
        <v>14</v>
      </c>
      <c r="R9" s="31">
        <v>15</v>
      </c>
      <c r="S9" s="31">
        <v>16</v>
      </c>
    </row>
    <row r="10" spans="1:19" x14ac:dyDescent="0.2">
      <c r="B10" s="102" t="s">
        <v>116</v>
      </c>
      <c r="C10" s="33">
        <v>0</v>
      </c>
      <c r="D10" s="33">
        <v>0</v>
      </c>
      <c r="E10" s="33">
        <v>0</v>
      </c>
      <c r="F10" s="33" cm="1">
        <f t="array" ref="F10:S10">Parameters!F93:S93</f>
        <v>1</v>
      </c>
      <c r="G10" s="33">
        <v>2</v>
      </c>
      <c r="H10" s="33">
        <v>3</v>
      </c>
      <c r="I10" s="33">
        <v>4</v>
      </c>
      <c r="J10" s="33">
        <v>5</v>
      </c>
      <c r="K10" s="33">
        <v>6</v>
      </c>
      <c r="L10" s="33">
        <v>7</v>
      </c>
      <c r="M10" s="33">
        <v>8</v>
      </c>
      <c r="N10" s="33">
        <v>9</v>
      </c>
      <c r="O10" s="33">
        <v>10</v>
      </c>
      <c r="P10" s="33">
        <v>11</v>
      </c>
      <c r="Q10" s="33">
        <v>11</v>
      </c>
      <c r="R10" s="33">
        <v>11</v>
      </c>
      <c r="S10" s="33">
        <v>11</v>
      </c>
    </row>
    <row r="11" spans="1:19" x14ac:dyDescent="0.2">
      <c r="B11" s="102" t="s">
        <v>187</v>
      </c>
      <c r="C11" s="33">
        <v>0</v>
      </c>
      <c r="D11" s="33">
        <v>0</v>
      </c>
      <c r="E11" s="33">
        <v>0</v>
      </c>
      <c r="F11" s="33" cm="1">
        <f t="array" ref="F11:S11">Parameters!F94:S94</f>
        <v>60</v>
      </c>
      <c r="G11" s="33">
        <v>61.8</v>
      </c>
      <c r="H11" s="33">
        <v>63.65</v>
      </c>
      <c r="I11" s="33">
        <v>65.56</v>
      </c>
      <c r="J11" s="33">
        <v>67.53</v>
      </c>
      <c r="K11" s="33">
        <v>69.56</v>
      </c>
      <c r="L11" s="33">
        <v>71.64</v>
      </c>
      <c r="M11" s="33">
        <v>73.790000000000006</v>
      </c>
      <c r="N11" s="33">
        <v>76.010000000000005</v>
      </c>
      <c r="O11" s="33">
        <v>78.290000000000006</v>
      </c>
      <c r="P11" s="33">
        <v>80.63</v>
      </c>
      <c r="Q11" s="33">
        <v>83.05</v>
      </c>
      <c r="R11" s="33">
        <v>85.55</v>
      </c>
      <c r="S11" s="33">
        <v>88.116500000000002</v>
      </c>
    </row>
    <row r="12" spans="1:19" x14ac:dyDescent="0.2">
      <c r="B12" s="102"/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</row>
    <row r="13" spans="1:19" x14ac:dyDescent="0.2">
      <c r="B13" s="102" t="s">
        <v>77</v>
      </c>
      <c r="C13" s="33">
        <v>0</v>
      </c>
      <c r="D13" s="33">
        <v>0</v>
      </c>
      <c r="E13" s="33">
        <v>0</v>
      </c>
      <c r="F13" s="33" cm="1">
        <f t="array" ref="F13:S13">Parameters!F95:S95</f>
        <v>60</v>
      </c>
      <c r="G13" s="33">
        <v>123.6</v>
      </c>
      <c r="H13" s="33">
        <v>190.95</v>
      </c>
      <c r="I13" s="33">
        <v>262.24</v>
      </c>
      <c r="J13" s="33">
        <v>337.65</v>
      </c>
      <c r="K13" s="33">
        <v>417.36</v>
      </c>
      <c r="L13" s="33">
        <v>501.48</v>
      </c>
      <c r="M13" s="33">
        <v>590.32000000000005</v>
      </c>
      <c r="N13" s="33">
        <v>684.09</v>
      </c>
      <c r="O13" s="33">
        <v>782.90000000000009</v>
      </c>
      <c r="P13" s="33">
        <v>886.93</v>
      </c>
      <c r="Q13" s="33">
        <v>913.55</v>
      </c>
      <c r="R13" s="33">
        <v>941.05</v>
      </c>
      <c r="S13" s="33">
        <v>969.28150000000005</v>
      </c>
    </row>
    <row r="14" spans="1:19" x14ac:dyDescent="0.2">
      <c r="B14" s="102" t="s">
        <v>184</v>
      </c>
      <c r="C14" s="33">
        <v>0</v>
      </c>
      <c r="D14" s="33">
        <v>0</v>
      </c>
      <c r="E14" s="33">
        <v>0</v>
      </c>
      <c r="F14" s="33" cm="1">
        <f t="array" ref="F14:S14">Parameters!F96:S96</f>
        <v>24</v>
      </c>
      <c r="G14" s="33">
        <v>49.44</v>
      </c>
      <c r="H14" s="33">
        <v>76.38</v>
      </c>
      <c r="I14" s="33">
        <v>104.89600000000002</v>
      </c>
      <c r="J14" s="33">
        <v>135.06</v>
      </c>
      <c r="K14" s="33">
        <v>166.94400000000002</v>
      </c>
      <c r="L14" s="33">
        <v>200.59200000000001</v>
      </c>
      <c r="M14" s="33">
        <v>236.12800000000004</v>
      </c>
      <c r="N14" s="33">
        <v>273.63600000000002</v>
      </c>
      <c r="O14" s="33">
        <v>313.16000000000008</v>
      </c>
      <c r="P14" s="33">
        <v>354.77199999999999</v>
      </c>
      <c r="Q14" s="33">
        <v>365.42</v>
      </c>
      <c r="R14" s="33">
        <v>376.42</v>
      </c>
      <c r="S14" s="33">
        <v>387.71260000000007</v>
      </c>
    </row>
    <row r="15" spans="1:19" x14ac:dyDescent="0.2">
      <c r="B15" s="102" t="s">
        <v>179</v>
      </c>
      <c r="C15" s="33">
        <v>0</v>
      </c>
      <c r="D15" s="33">
        <v>0</v>
      </c>
      <c r="E15" s="33">
        <v>0</v>
      </c>
      <c r="F15" s="33" cm="1">
        <f t="array" ref="F15:S15">Parameters!F125:S125</f>
        <v>25</v>
      </c>
      <c r="G15" s="33">
        <v>35</v>
      </c>
      <c r="H15" s="33">
        <v>67.81</v>
      </c>
      <c r="I15" s="33">
        <v>78.418999999999997</v>
      </c>
      <c r="J15" s="33">
        <v>89.347269999999995</v>
      </c>
      <c r="K15" s="33">
        <v>100.6050881</v>
      </c>
      <c r="L15" s="33">
        <v>112.20274074300001</v>
      </c>
      <c r="M15" s="33">
        <v>124.14052296529002</v>
      </c>
      <c r="N15" s="33">
        <v>136.43873865424871</v>
      </c>
      <c r="O15" s="33">
        <v>121.42770081387617</v>
      </c>
      <c r="P15" s="33">
        <v>109.47773183829244</v>
      </c>
      <c r="Q15" s="33">
        <v>99.47999999999999</v>
      </c>
      <c r="R15" s="33">
        <v>89.179999999999993</v>
      </c>
      <c r="S15" s="33">
        <v>91.855399999999989</v>
      </c>
    </row>
    <row r="16" spans="1:19" x14ac:dyDescent="0.2">
      <c r="B16" s="102" t="s">
        <v>225</v>
      </c>
      <c r="C16" s="33">
        <v>0</v>
      </c>
      <c r="D16" s="33">
        <v>0</v>
      </c>
      <c r="E16" s="33">
        <v>0</v>
      </c>
      <c r="F16" s="33">
        <v>0</v>
      </c>
      <c r="G16" s="33" cm="1">
        <f t="array" ref="G16:R16">Parameters!G128:R128</f>
        <v>2.7318175</v>
      </c>
      <c r="H16" s="33">
        <v>6.3979165849999999</v>
      </c>
      <c r="I16" s="33">
        <v>13.619162424328302</v>
      </c>
      <c r="J16" s="33">
        <v>21.620884886046237</v>
      </c>
      <c r="K16" s="33">
        <v>30.447383629447572</v>
      </c>
      <c r="L16" s="33">
        <v>40.146996830547337</v>
      </c>
      <c r="M16" s="33">
        <v>50.772209874853743</v>
      </c>
      <c r="N16" s="33">
        <v>62.378437102708212</v>
      </c>
      <c r="O16" s="33">
        <v>75.026905724850565</v>
      </c>
      <c r="P16" s="33">
        <v>84.836901792373965</v>
      </c>
      <c r="Q16" s="33">
        <v>92.430385620810796</v>
      </c>
      <c r="R16" s="33">
        <v>98.234589641588357</v>
      </c>
      <c r="S16" s="33">
        <f>R16*(1+Parameters!C4)</f>
        <v>101.18162733083601</v>
      </c>
    </row>
    <row r="17" spans="1:19" x14ac:dyDescent="0.2">
      <c r="B17" s="102" t="s">
        <v>185</v>
      </c>
      <c r="C17" s="33">
        <v>0</v>
      </c>
      <c r="D17" s="33">
        <v>0</v>
      </c>
      <c r="E17" s="33">
        <v>0</v>
      </c>
      <c r="F17" s="33" cm="1">
        <f t="array" ref="F17:S17">Parameters!F144:S144</f>
        <v>61.576250000000002</v>
      </c>
      <c r="G17" s="33">
        <v>67.155062500000014</v>
      </c>
      <c r="H17" s="33">
        <v>73.262815625000016</v>
      </c>
      <c r="I17" s="33">
        <v>79.950956406250029</v>
      </c>
      <c r="J17" s="33">
        <v>87.276004226562549</v>
      </c>
      <c r="K17" s="33">
        <v>95.30005443789068</v>
      </c>
      <c r="L17" s="33">
        <v>104.09133215978522</v>
      </c>
      <c r="M17" s="33">
        <v>113.7248012677745</v>
      </c>
      <c r="N17" s="33">
        <v>124.28283408116324</v>
      </c>
      <c r="O17" s="33">
        <v>135.85594781022141</v>
      </c>
      <c r="P17" s="33">
        <v>148.5436144282325</v>
      </c>
      <c r="Q17" s="33">
        <v>153.37705268954414</v>
      </c>
      <c r="R17" s="33">
        <v>158.37435059011835</v>
      </c>
      <c r="S17" s="33">
        <v>163.54136674370417</v>
      </c>
    </row>
    <row r="18" spans="1:19" x14ac:dyDescent="0.2">
      <c r="B18" s="102" t="s">
        <v>186</v>
      </c>
      <c r="C18" s="33">
        <v>0</v>
      </c>
      <c r="D18" s="33">
        <v>0</v>
      </c>
      <c r="E18" s="33">
        <v>0</v>
      </c>
      <c r="F18" s="33" cm="1">
        <f t="array" ref="F18:S18">Parameters!F150:S150</f>
        <v>24.586357499999991</v>
      </c>
      <c r="G18" s="33">
        <v>25.323948224999981</v>
      </c>
      <c r="H18" s="33">
        <v>26.083666671749995</v>
      </c>
      <c r="I18" s="33">
        <v>26.86617667190248</v>
      </c>
      <c r="J18" s="33">
        <v>27.67216197205957</v>
      </c>
      <c r="K18" s="33">
        <v>28.502326831221353</v>
      </c>
      <c r="L18" s="33">
        <v>29.357396636158001</v>
      </c>
      <c r="M18" s="33">
        <v>30.238118535242734</v>
      </c>
      <c r="N18" s="33">
        <v>31.145262091300026</v>
      </c>
      <c r="O18" s="33">
        <v>32.079619954039003</v>
      </c>
      <c r="P18" s="33">
        <v>33.042008552660178</v>
      </c>
      <c r="Q18" s="33">
        <v>34.033268809240013</v>
      </c>
      <c r="R18" s="33">
        <v>35.054266873517207</v>
      </c>
      <c r="S18" s="33">
        <v>36.105894879722683</v>
      </c>
    </row>
    <row r="19" spans="1:19" x14ac:dyDescent="0.2">
      <c r="B19" s="102" t="s">
        <v>118</v>
      </c>
      <c r="C19" s="33">
        <v>0</v>
      </c>
      <c r="D19" s="33">
        <v>0</v>
      </c>
      <c r="E19" s="33">
        <v>0</v>
      </c>
      <c r="F19" s="33">
        <f>F13-F14-F15-F17-F18</f>
        <v>-75.162607499999993</v>
      </c>
      <c r="G19" s="33">
        <f>G13-G14-G15-G16-G17-G18</f>
        <v>-56.050828224999997</v>
      </c>
      <c r="H19" s="33">
        <f t="shared" ref="H19:S19" si="0">H13-H14-H15-H16-H17-H18</f>
        <v>-58.984398881750018</v>
      </c>
      <c r="I19" s="33">
        <f t="shared" si="0"/>
        <v>-41.51129550248082</v>
      </c>
      <c r="J19" s="33">
        <f t="shared" si="0"/>
        <v>-23.326321084668379</v>
      </c>
      <c r="K19" s="33">
        <f t="shared" si="0"/>
        <v>-4.4388529985595966</v>
      </c>
      <c r="L19" s="33">
        <f t="shared" si="0"/>
        <v>15.089533630509493</v>
      </c>
      <c r="M19" s="33">
        <f t="shared" si="0"/>
        <v>35.316347356839032</v>
      </c>
      <c r="N19" s="33">
        <f t="shared" si="0"/>
        <v>56.208728070579824</v>
      </c>
      <c r="O19" s="33">
        <f t="shared" si="0"/>
        <v>105.34982569701285</v>
      </c>
      <c r="P19" s="33">
        <f t="shared" si="0"/>
        <v>156.25774338844079</v>
      </c>
      <c r="Q19" s="33">
        <f t="shared" si="0"/>
        <v>168.80929288040491</v>
      </c>
      <c r="R19" s="33">
        <f t="shared" si="0"/>
        <v>183.78679289477597</v>
      </c>
      <c r="S19" s="33">
        <f t="shared" si="0"/>
        <v>188.88461104573713</v>
      </c>
    </row>
    <row r="20" spans="1:19" ht="17" thickBot="1" x14ac:dyDescent="0.25">
      <c r="B20" s="103" t="s">
        <v>119</v>
      </c>
      <c r="C20" s="69">
        <v>0</v>
      </c>
      <c r="D20" s="69">
        <v>0</v>
      </c>
      <c r="E20" s="69">
        <v>0</v>
      </c>
      <c r="F20" s="69">
        <f>F19*C4</f>
        <v>-18.790651874999998</v>
      </c>
      <c r="G20" s="69">
        <f>G19*C4</f>
        <v>-14.012707056249999</v>
      </c>
      <c r="H20" s="69">
        <f>H19*C4</f>
        <v>-14.746099720437504</v>
      </c>
      <c r="I20" s="69">
        <f>I19*C4</f>
        <v>-10.377823875620205</v>
      </c>
      <c r="J20" s="69">
        <f>J19*C4</f>
        <v>-5.8315802711670948</v>
      </c>
      <c r="K20" s="69">
        <f>K19*C4</f>
        <v>-1.1097132496398991</v>
      </c>
      <c r="L20" s="69">
        <f>L19*C4</f>
        <v>3.7723834076273732</v>
      </c>
      <c r="M20" s="69">
        <f>M19*C4</f>
        <v>8.8290868392097579</v>
      </c>
      <c r="N20" s="69">
        <f>N19*C4</f>
        <v>14.052182017644956</v>
      </c>
      <c r="O20" s="69">
        <f>O19*C4</f>
        <v>26.337456424253212</v>
      </c>
      <c r="P20" s="69">
        <f>P19*C4</f>
        <v>39.064435847110197</v>
      </c>
      <c r="Q20" s="69">
        <f>Q19*C4</f>
        <v>42.202323220101228</v>
      </c>
      <c r="R20" s="69">
        <f>R19*C4</f>
        <v>45.946698223693993</v>
      </c>
      <c r="S20" s="69">
        <f>S19*C4</f>
        <v>47.221152761434283</v>
      </c>
    </row>
    <row r="21" spans="1:19" s="82" customFormat="1" ht="17" thickBot="1" x14ac:dyDescent="0.25">
      <c r="A21" s="105"/>
      <c r="B21" s="90" t="s">
        <v>196</v>
      </c>
      <c r="C21" s="91">
        <v>0</v>
      </c>
      <c r="D21" s="72">
        <v>0</v>
      </c>
      <c r="E21" s="72">
        <v>0</v>
      </c>
      <c r="F21" s="72">
        <f t="shared" ref="F21:S21" si="1">F19-F20</f>
        <v>-56.371955624999998</v>
      </c>
      <c r="G21" s="72">
        <f t="shared" si="1"/>
        <v>-42.038121168749996</v>
      </c>
      <c r="H21" s="72">
        <f t="shared" si="1"/>
        <v>-44.238299161312511</v>
      </c>
      <c r="I21" s="72">
        <f t="shared" si="1"/>
        <v>-31.133471626860615</v>
      </c>
      <c r="J21" s="72">
        <f t="shared" si="1"/>
        <v>-17.494740813501284</v>
      </c>
      <c r="K21" s="72">
        <f t="shared" si="1"/>
        <v>-3.3291397489196974</v>
      </c>
      <c r="L21" s="72">
        <f t="shared" si="1"/>
        <v>11.31715022288212</v>
      </c>
      <c r="M21" s="72">
        <f t="shared" si="1"/>
        <v>26.487260517629274</v>
      </c>
      <c r="N21" s="72">
        <f t="shared" si="1"/>
        <v>42.156546052934871</v>
      </c>
      <c r="O21" s="72">
        <f t="shared" si="1"/>
        <v>79.012369272759628</v>
      </c>
      <c r="P21" s="72">
        <f t="shared" si="1"/>
        <v>117.1933075413306</v>
      </c>
      <c r="Q21" s="72">
        <f t="shared" si="1"/>
        <v>126.60696966030369</v>
      </c>
      <c r="R21" s="72">
        <f t="shared" si="1"/>
        <v>137.84009467108197</v>
      </c>
      <c r="S21" s="73">
        <f t="shared" si="1"/>
        <v>141.66345828430286</v>
      </c>
    </row>
    <row r="22" spans="1:19" x14ac:dyDescent="0.2">
      <c r="B22" s="104" t="s">
        <v>197</v>
      </c>
      <c r="C22" s="70">
        <v>0</v>
      </c>
      <c r="D22" s="70">
        <v>0</v>
      </c>
      <c r="E22" s="70">
        <v>0</v>
      </c>
      <c r="F22" s="70" cm="1">
        <f t="array" ref="F22:R22">Parameters!F129:R129</f>
        <v>25</v>
      </c>
      <c r="G22" s="70">
        <v>37.731817499999998</v>
      </c>
      <c r="H22" s="70">
        <v>74.207916585000007</v>
      </c>
      <c r="I22" s="70">
        <v>92.038162424328306</v>
      </c>
      <c r="J22" s="70">
        <v>110.96815488604624</v>
      </c>
      <c r="K22" s="70">
        <v>131.05247172944757</v>
      </c>
      <c r="L22" s="70">
        <v>152.34973757354734</v>
      </c>
      <c r="M22" s="70">
        <v>174.91273284014375</v>
      </c>
      <c r="N22" s="70">
        <v>198.81717575695691</v>
      </c>
      <c r="O22" s="70">
        <v>196.45460653872675</v>
      </c>
      <c r="P22" s="70">
        <v>194.31463363066641</v>
      </c>
      <c r="Q22" s="70">
        <v>191.91038562081079</v>
      </c>
      <c r="R22" s="70">
        <v>187.41458964158835</v>
      </c>
      <c r="S22" s="70">
        <f>S15+S16</f>
        <v>193.037027330836</v>
      </c>
    </row>
    <row r="23" spans="1:19" x14ac:dyDescent="0.2">
      <c r="B23" s="102" t="s">
        <v>198</v>
      </c>
      <c r="C23" s="70">
        <v>0</v>
      </c>
      <c r="D23" s="70">
        <v>0</v>
      </c>
      <c r="E23" s="70">
        <v>0</v>
      </c>
      <c r="F23" s="33">
        <f>(Parameters!F144-Parameters!F143)*(1-'Infinite Life'!C4)</f>
        <v>8.6821875000000013</v>
      </c>
      <c r="G23" s="33">
        <f>(Parameters!G144-Parameters!G143)*(1-'Infinite Life'!C4)</f>
        <v>9.1162968750000051</v>
      </c>
      <c r="H23" s="33">
        <f>(Parameters!H144-Parameters!H143)*(1-'Infinite Life'!C4)</f>
        <v>9.5721117187500013</v>
      </c>
      <c r="I23" s="33">
        <f>(Parameters!I144-Parameters!I143)*(1-'Infinite Life'!C4)</f>
        <v>10.050717304687502</v>
      </c>
      <c r="J23" s="33">
        <f>(Parameters!J144-Parameters!J143)*(1-'Infinite Life'!C4)</f>
        <v>10.553253169921881</v>
      </c>
      <c r="K23" s="33">
        <f>(Parameters!K144-Parameters!K143)*(1-'Infinite Life'!C4)</f>
        <v>11.080915828417972</v>
      </c>
      <c r="L23" s="33">
        <f>(Parameters!L144-Parameters!L143)*(1-'Infinite Life'!C4)</f>
        <v>11.634961619838872</v>
      </c>
      <c r="M23" s="33">
        <f>(Parameters!M144-Parameters!M143)*(1-'Infinite Life'!C4)</f>
        <v>12.216709700830815</v>
      </c>
      <c r="N23" s="33">
        <f>(Parameters!N144-Parameters!N143)*(1-'Infinite Life'!C4)</f>
        <v>12.82754518587236</v>
      </c>
      <c r="O23" s="33">
        <f>(Parameters!O144-Parameters!O143)*(1-'Infinite Life'!C4)</f>
        <v>13.468922445165973</v>
      </c>
      <c r="P23" s="33">
        <f>(Parameters!P144-Parameters!P143)*(1-'Infinite Life'!C4)</f>
        <v>14.142368567424278</v>
      </c>
      <c r="Q23" s="33">
        <f>(Parameters!Q144-Parameters!Q143)*(1-'Infinite Life'!C4)</f>
        <v>14.849486995795495</v>
      </c>
      <c r="R23" s="33">
        <f>(Parameters!R144-Parameters!R143)*(1-'Infinite Life'!C4)</f>
        <v>15.591961345585268</v>
      </c>
      <c r="S23" s="33">
        <f>(Parameters!S144-Parameters!S143)*(1-'Infinite Life'!C4)</f>
        <v>16.371559412864535</v>
      </c>
    </row>
    <row r="24" spans="1:19" x14ac:dyDescent="0.2">
      <c r="B24" s="102" t="s">
        <v>199</v>
      </c>
      <c r="C24" s="33">
        <v>250</v>
      </c>
      <c r="D24" s="70">
        <v>0</v>
      </c>
      <c r="E24" s="70">
        <v>0</v>
      </c>
      <c r="F24" s="33" cm="1">
        <f t="array" ref="F24:O24">Parameters!F101:O101</f>
        <v>100</v>
      </c>
      <c r="G24" s="33">
        <v>103</v>
      </c>
      <c r="H24" s="33">
        <v>106.09</v>
      </c>
      <c r="I24" s="33">
        <v>109.2727</v>
      </c>
      <c r="J24" s="33">
        <v>112.550881</v>
      </c>
      <c r="K24" s="33">
        <v>115.92740743</v>
      </c>
      <c r="L24" s="33">
        <v>119.4052296529</v>
      </c>
      <c r="M24" s="33">
        <v>122.987386542487</v>
      </c>
      <c r="N24" s="33">
        <v>126.67700813876162</v>
      </c>
      <c r="O24" s="33">
        <v>130.47731838292447</v>
      </c>
      <c r="P24" s="33">
        <v>0</v>
      </c>
      <c r="Q24" s="33">
        <v>0</v>
      </c>
      <c r="R24" s="33">
        <v>0</v>
      </c>
      <c r="S24" s="33">
        <v>0</v>
      </c>
    </row>
    <row r="25" spans="1:19" x14ac:dyDescent="0.2">
      <c r="B25" s="102" t="s">
        <v>226</v>
      </c>
      <c r="C25" s="33">
        <v>0</v>
      </c>
      <c r="D25" s="33">
        <v>0</v>
      </c>
      <c r="E25" s="70">
        <v>0</v>
      </c>
      <c r="F25" s="33" cm="1">
        <f t="array" ref="F25:R25">Parameters!F126:R126</f>
        <v>27.318175</v>
      </c>
      <c r="G25" s="33">
        <v>39.392808349999996</v>
      </c>
      <c r="H25" s="33">
        <v>78.610374978282991</v>
      </c>
      <c r="I25" s="33">
        <v>93.636387041507646</v>
      </c>
      <c r="J25" s="33">
        <v>109.88587232005952</v>
      </c>
      <c r="K25" s="33">
        <v>127.44351564044527</v>
      </c>
      <c r="L25" s="33">
        <v>146.39912727361141</v>
      </c>
      <c r="M25" s="33">
        <v>166.83448215339837</v>
      </c>
      <c r="N25" s="33">
        <v>188.86312332413172</v>
      </c>
      <c r="O25" s="33">
        <v>173.12686640008454</v>
      </c>
      <c r="P25" s="33">
        <v>160.77174007674211</v>
      </c>
      <c r="Q25" s="33">
        <v>150.47242582858644</v>
      </c>
      <c r="R25" s="33">
        <v>138.93953421245615</v>
      </c>
      <c r="S25" s="33">
        <f>S22*(1+Parameters!C4)</f>
        <v>198.82813815076108</v>
      </c>
    </row>
    <row r="26" spans="1:19" x14ac:dyDescent="0.2">
      <c r="B26" s="102" t="s">
        <v>200</v>
      </c>
      <c r="C26" s="33">
        <v>0</v>
      </c>
      <c r="D26" s="33">
        <v>0</v>
      </c>
      <c r="E26" s="70">
        <v>0</v>
      </c>
      <c r="F26" s="33">
        <v>0</v>
      </c>
      <c r="G26" s="33">
        <f>Parameters!G108</f>
        <v>225.1</v>
      </c>
      <c r="H26" s="33">
        <v>0</v>
      </c>
      <c r="I26" s="33">
        <v>0</v>
      </c>
      <c r="J26" s="33">
        <v>0</v>
      </c>
      <c r="K26" s="33">
        <v>0</v>
      </c>
      <c r="L26" s="33">
        <v>0</v>
      </c>
      <c r="M26" s="33">
        <v>0</v>
      </c>
      <c r="N26" s="33">
        <f>Parameters!N108</f>
        <v>276.85000000000002</v>
      </c>
      <c r="O26" s="33">
        <v>0</v>
      </c>
      <c r="P26" s="33">
        <v>0</v>
      </c>
      <c r="Q26" s="33">
        <v>0</v>
      </c>
      <c r="R26" s="33">
        <v>0</v>
      </c>
      <c r="S26" s="33">
        <v>0</v>
      </c>
    </row>
    <row r="27" spans="1:19" x14ac:dyDescent="0.2">
      <c r="B27" s="102" t="s">
        <v>201</v>
      </c>
      <c r="C27" s="33">
        <v>0</v>
      </c>
      <c r="D27" s="33">
        <v>0</v>
      </c>
      <c r="E27" s="33" cm="1">
        <f t="array" ref="E27:S27">Parameters!E137:S137</f>
        <v>7.2</v>
      </c>
      <c r="F27" s="33">
        <v>7.6319999999999988</v>
      </c>
      <c r="G27" s="33">
        <v>8.081999999999999</v>
      </c>
      <c r="H27" s="33">
        <v>8.5548000000000073</v>
      </c>
      <c r="I27" s="33">
        <v>9.0491999999999955</v>
      </c>
      <c r="J27" s="33">
        <v>9.5652000000000044</v>
      </c>
      <c r="K27" s="33">
        <v>10.094399999999993</v>
      </c>
      <c r="L27" s="33">
        <v>10.660800000000009</v>
      </c>
      <c r="M27" s="33">
        <v>11.252399999999994</v>
      </c>
      <c r="N27" s="33">
        <v>11.85720000000002</v>
      </c>
      <c r="O27" s="33">
        <v>12.483599999999967</v>
      </c>
      <c r="P27" s="33">
        <v>3.1944000000000159</v>
      </c>
      <c r="Q27" s="33">
        <v>3.3000000000000114</v>
      </c>
      <c r="R27" s="33">
        <v>3.3000000000000114</v>
      </c>
      <c r="S27" s="33">
        <v>3.3877800000000065</v>
      </c>
    </row>
    <row r="28" spans="1:19" ht="17" thickBot="1" x14ac:dyDescent="0.25">
      <c r="B28" s="103" t="s">
        <v>227</v>
      </c>
      <c r="C28" s="69">
        <v>0</v>
      </c>
      <c r="D28" s="69">
        <v>0</v>
      </c>
      <c r="E28" s="69">
        <v>0</v>
      </c>
      <c r="F28" s="69">
        <v>0</v>
      </c>
      <c r="G28" s="69">
        <v>0</v>
      </c>
      <c r="H28" s="69">
        <v>0</v>
      </c>
      <c r="I28" s="69">
        <v>0</v>
      </c>
      <c r="J28" s="69">
        <v>0</v>
      </c>
      <c r="K28" s="69">
        <v>0</v>
      </c>
      <c r="L28" s="69">
        <v>0</v>
      </c>
      <c r="M28" s="69">
        <v>0</v>
      </c>
      <c r="N28" s="69">
        <v>0</v>
      </c>
      <c r="O28" s="69">
        <v>0</v>
      </c>
      <c r="P28" s="69">
        <v>0</v>
      </c>
      <c r="Q28" s="69">
        <v>0</v>
      </c>
      <c r="R28" s="69">
        <f>S29/(C5-C6)</f>
        <v>2682.0923761665281</v>
      </c>
      <c r="S28" s="69">
        <v>0</v>
      </c>
    </row>
    <row r="29" spans="1:19" ht="17" thickBot="1" x14ac:dyDescent="0.25">
      <c r="B29" s="71" t="s">
        <v>121</v>
      </c>
      <c r="C29" s="72">
        <v>-250</v>
      </c>
      <c r="D29" s="72">
        <v>0</v>
      </c>
      <c r="E29" s="72">
        <v>-7.2</v>
      </c>
      <c r="F29" s="72">
        <f>F21+F22+F23-F24-F25-F26-F27-F28</f>
        <v>-157.639943125</v>
      </c>
      <c r="G29" s="72">
        <f t="shared" ref="G29:S29" si="2">G21+G22+G23-G24-G25-G26-G27-G28</f>
        <v>-370.76481514374996</v>
      </c>
      <c r="H29" s="72">
        <f t="shared" si="2"/>
        <v>-153.7134458358455</v>
      </c>
      <c r="I29" s="72">
        <f t="shared" si="2"/>
        <v>-141.00287893935246</v>
      </c>
      <c r="J29" s="72">
        <f t="shared" si="2"/>
        <v>-127.9752860775927</v>
      </c>
      <c r="K29" s="72">
        <f t="shared" si="2"/>
        <v>-114.66107526149943</v>
      </c>
      <c r="L29" s="72">
        <f t="shared" si="2"/>
        <v>-101.16330751024309</v>
      </c>
      <c r="M29" s="72">
        <f t="shared" si="2"/>
        <v>-87.457565637281533</v>
      </c>
      <c r="N29" s="72">
        <f>N21+N22+N23-N24-N25+N26-N27-N28</f>
        <v>203.2539355328708</v>
      </c>
      <c r="O29" s="72">
        <f t="shared" si="2"/>
        <v>-27.151886526356662</v>
      </c>
      <c r="P29" s="72">
        <f t="shared" si="2"/>
        <v>161.68416966267915</v>
      </c>
      <c r="Q29" s="72">
        <f t="shared" si="2"/>
        <v>179.5944164483235</v>
      </c>
      <c r="R29" s="72">
        <f>R21+R22+R23-R24-R25-R26-R27+R28</f>
        <v>2880.6994876123276</v>
      </c>
      <c r="S29" s="73">
        <f t="shared" si="2"/>
        <v>148.85612687724233</v>
      </c>
    </row>
    <row r="30" spans="1:19" x14ac:dyDescent="0.2">
      <c r="B30" s="5"/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</row>
    <row r="31" spans="1:19" x14ac:dyDescent="0.2">
      <c r="B31" s="5" t="s">
        <v>236</v>
      </c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</row>
    <row r="32" spans="1:19" x14ac:dyDescent="0.2">
      <c r="B32" s="136"/>
      <c r="C32" s="136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</row>
    <row r="33" spans="1:19" x14ac:dyDescent="0.2">
      <c r="B33" s="136"/>
      <c r="C33" s="136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</row>
    <row r="34" spans="1:19" x14ac:dyDescent="0.2">
      <c r="B34" s="136"/>
      <c r="C34" s="136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</row>
    <row r="35" spans="1:19" x14ac:dyDescent="0.2">
      <c r="B35" s="136"/>
      <c r="C35" s="136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</row>
    <row r="36" spans="1:19" x14ac:dyDescent="0.2">
      <c r="B36" s="136"/>
      <c r="C36" s="136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</row>
    <row r="37" spans="1:19" x14ac:dyDescent="0.2">
      <c r="B37" s="136"/>
      <c r="C37" s="136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</row>
    <row r="38" spans="1:19" x14ac:dyDescent="0.2">
      <c r="B38" s="136"/>
      <c r="C38" s="136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</row>
    <row r="39" spans="1:19" x14ac:dyDescent="0.2">
      <c r="B39" s="136"/>
      <c r="C39" s="136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</row>
    <row r="41" spans="1:19" x14ac:dyDescent="0.2">
      <c r="A41" s="105" t="s">
        <v>21</v>
      </c>
      <c r="B41" s="82" t="s">
        <v>213</v>
      </c>
    </row>
    <row r="43" spans="1:19" x14ac:dyDescent="0.2">
      <c r="B43" s="87" t="s">
        <v>40</v>
      </c>
      <c r="C43" s="76">
        <f>'Hurdle Rate'!D8</f>
        <v>8.5500000000000007E-2</v>
      </c>
    </row>
    <row r="45" spans="1:19" x14ac:dyDescent="0.2">
      <c r="B45" s="128"/>
      <c r="C45" s="128"/>
    </row>
    <row r="46" spans="1:19" x14ac:dyDescent="0.2">
      <c r="B46" s="128"/>
      <c r="C46" s="128"/>
    </row>
    <row r="47" spans="1:19" x14ac:dyDescent="0.2">
      <c r="B47" s="128"/>
      <c r="C47" s="128"/>
    </row>
    <row r="49" spans="1:18" x14ac:dyDescent="0.2">
      <c r="B49" s="28" t="s">
        <v>115</v>
      </c>
      <c r="C49" s="31">
        <v>0</v>
      </c>
      <c r="D49" s="31">
        <v>1</v>
      </c>
      <c r="E49" s="31">
        <v>2</v>
      </c>
      <c r="F49" s="31">
        <v>3</v>
      </c>
      <c r="G49" s="31">
        <v>4</v>
      </c>
      <c r="H49" s="31">
        <v>5</v>
      </c>
      <c r="I49" s="31">
        <v>6</v>
      </c>
      <c r="J49" s="31">
        <v>7</v>
      </c>
      <c r="K49" s="31">
        <v>8</v>
      </c>
      <c r="L49" s="31">
        <v>9</v>
      </c>
      <c r="M49" s="31">
        <v>10</v>
      </c>
      <c r="N49" s="31">
        <v>11</v>
      </c>
      <c r="O49" s="31">
        <v>12</v>
      </c>
      <c r="P49" s="31">
        <v>13</v>
      </c>
      <c r="Q49" s="31">
        <v>14</v>
      </c>
      <c r="R49" s="31">
        <v>15</v>
      </c>
    </row>
    <row r="50" spans="1:18" x14ac:dyDescent="0.2">
      <c r="B50" s="87" t="s">
        <v>204</v>
      </c>
      <c r="C50" s="33">
        <f t="shared" ref="C50:R50" si="3">C29</f>
        <v>-250</v>
      </c>
      <c r="D50" s="33">
        <f t="shared" si="3"/>
        <v>0</v>
      </c>
      <c r="E50" s="33">
        <f t="shared" si="3"/>
        <v>-7.2</v>
      </c>
      <c r="F50" s="33">
        <f t="shared" si="3"/>
        <v>-157.639943125</v>
      </c>
      <c r="G50" s="33">
        <f t="shared" si="3"/>
        <v>-370.76481514374996</v>
      </c>
      <c r="H50" s="33">
        <f t="shared" si="3"/>
        <v>-153.7134458358455</v>
      </c>
      <c r="I50" s="33">
        <f t="shared" si="3"/>
        <v>-141.00287893935246</v>
      </c>
      <c r="J50" s="33">
        <f t="shared" si="3"/>
        <v>-127.9752860775927</v>
      </c>
      <c r="K50" s="33">
        <f t="shared" si="3"/>
        <v>-114.66107526149943</v>
      </c>
      <c r="L50" s="33">
        <f t="shared" si="3"/>
        <v>-101.16330751024309</v>
      </c>
      <c r="M50" s="33">
        <f t="shared" si="3"/>
        <v>-87.457565637281533</v>
      </c>
      <c r="N50" s="33">
        <f t="shared" si="3"/>
        <v>203.2539355328708</v>
      </c>
      <c r="O50" s="33">
        <f t="shared" si="3"/>
        <v>-27.151886526356662</v>
      </c>
      <c r="P50" s="33">
        <f t="shared" si="3"/>
        <v>161.68416966267915</v>
      </c>
      <c r="Q50" s="33">
        <f t="shared" si="3"/>
        <v>179.5944164483235</v>
      </c>
      <c r="R50" s="33">
        <f t="shared" si="3"/>
        <v>2880.6994876123276</v>
      </c>
    </row>
    <row r="51" spans="1:18" x14ac:dyDescent="0.2">
      <c r="B51" s="87" t="s">
        <v>228</v>
      </c>
      <c r="C51" s="33" cm="1">
        <f t="array" ref="C51:R51">'Finite Life'!C37:R37</f>
        <v>1</v>
      </c>
      <c r="D51" s="33">
        <v>1.0854999999999999</v>
      </c>
      <c r="E51" s="33">
        <v>1.1783102499999998</v>
      </c>
      <c r="F51" s="33">
        <v>1.2790557763749997</v>
      </c>
      <c r="G51" s="33">
        <v>1.3884150452550619</v>
      </c>
      <c r="H51" s="33">
        <v>1.5071245316243695</v>
      </c>
      <c r="I51" s="33">
        <v>1.6359836790782529</v>
      </c>
      <c r="J51" s="33">
        <v>1.7758602836394435</v>
      </c>
      <c r="K51" s="33">
        <v>1.9276963378906156</v>
      </c>
      <c r="L51" s="33">
        <v>2.0925143747802628</v>
      </c>
      <c r="M51" s="33">
        <v>2.2714243538239751</v>
      </c>
      <c r="N51" s="33">
        <v>2.4656311360759249</v>
      </c>
      <c r="O51" s="33">
        <v>2.6764425982104161</v>
      </c>
      <c r="P51" s="33">
        <v>2.9052784403574066</v>
      </c>
      <c r="Q51" s="33">
        <v>3.1536797470079643</v>
      </c>
      <c r="R51" s="33">
        <v>3.4233193653771452</v>
      </c>
    </row>
    <row r="52" spans="1:18" x14ac:dyDescent="0.2">
      <c r="B52" s="87" t="s">
        <v>220</v>
      </c>
      <c r="C52" s="33">
        <f>C50/C51</f>
        <v>-250</v>
      </c>
      <c r="D52" s="33">
        <f t="shared" ref="D52:R52" si="4">D50/D51</f>
        <v>0</v>
      </c>
      <c r="E52" s="33">
        <f t="shared" si="4"/>
        <v>-6.1104450207405065</v>
      </c>
      <c r="F52" s="33">
        <f t="shared" si="4"/>
        <v>-123.24712185091009</v>
      </c>
      <c r="G52" s="33">
        <f t="shared" si="4"/>
        <v>-267.04177285520393</v>
      </c>
      <c r="H52" s="33">
        <f t="shared" si="4"/>
        <v>-101.99120418415198</v>
      </c>
      <c r="I52" s="33">
        <f t="shared" si="4"/>
        <v>-86.188438639434594</v>
      </c>
      <c r="J52" s="33">
        <f t="shared" si="4"/>
        <v>-72.063825773117955</v>
      </c>
      <c r="K52" s="33">
        <f t="shared" si="4"/>
        <v>-59.480880368827947</v>
      </c>
      <c r="L52" s="33">
        <f t="shared" si="4"/>
        <v>-48.345334555164698</v>
      </c>
      <c r="M52" s="33">
        <f t="shared" si="4"/>
        <v>-38.503402277097841</v>
      </c>
      <c r="N52" s="33">
        <f t="shared" si="4"/>
        <v>82.434851084964535</v>
      </c>
      <c r="O52" s="33">
        <f t="shared" si="4"/>
        <v>-10.144766992018276</v>
      </c>
      <c r="P52" s="33">
        <f t="shared" si="4"/>
        <v>55.651867103928538</v>
      </c>
      <c r="Q52" s="33">
        <f t="shared" si="4"/>
        <v>56.947575802112652</v>
      </c>
      <c r="R52" s="33">
        <f t="shared" si="4"/>
        <v>841.49305984922694</v>
      </c>
    </row>
    <row r="53" spans="1:18" ht="17" thickBot="1" x14ac:dyDescent="0.25"/>
    <row r="54" spans="1:18" ht="17" thickBot="1" x14ac:dyDescent="0.25">
      <c r="B54" s="99" t="s">
        <v>206</v>
      </c>
      <c r="C54" s="73">
        <f>SUM(C52:R52)</f>
        <v>-26.589838676435306</v>
      </c>
    </row>
    <row r="55" spans="1:18" ht="17" thickBot="1" x14ac:dyDescent="0.25">
      <c r="B55" s="82"/>
      <c r="C55" s="82"/>
    </row>
    <row r="56" spans="1:18" s="82" customFormat="1" ht="17" thickBot="1" x14ac:dyDescent="0.25">
      <c r="A56" s="105"/>
      <c r="B56" s="99" t="s">
        <v>207</v>
      </c>
      <c r="C56" s="106">
        <f>IRR(C50:R50)</f>
        <v>8.2852386396404798E-2</v>
      </c>
    </row>
    <row r="58" spans="1:18" x14ac:dyDescent="0.2">
      <c r="A58" s="105" t="s">
        <v>39</v>
      </c>
      <c r="B58" s="82" t="s">
        <v>68</v>
      </c>
    </row>
    <row r="60" spans="1:18" x14ac:dyDescent="0.2">
      <c r="B60" s="107" t="s">
        <v>40</v>
      </c>
      <c r="C60" s="36">
        <f>'Hurdle Rate'!C8</f>
        <v>0.1368</v>
      </c>
    </row>
    <row r="62" spans="1:18" x14ac:dyDescent="0.2">
      <c r="B62" s="128"/>
      <c r="C62" s="128"/>
    </row>
    <row r="63" spans="1:18" x14ac:dyDescent="0.2">
      <c r="B63" s="128"/>
      <c r="C63" s="128"/>
    </row>
    <row r="64" spans="1:18" x14ac:dyDescent="0.2">
      <c r="B64" s="128"/>
      <c r="C64" s="128"/>
    </row>
    <row r="66" spans="2:18" x14ac:dyDescent="0.2">
      <c r="B66" s="28" t="s">
        <v>115</v>
      </c>
      <c r="C66" s="31">
        <v>0</v>
      </c>
      <c r="D66" s="31">
        <v>1</v>
      </c>
      <c r="E66" s="31">
        <v>2</v>
      </c>
      <c r="F66" s="31">
        <v>3</v>
      </c>
      <c r="G66" s="31">
        <v>4</v>
      </c>
      <c r="H66" s="31">
        <v>5</v>
      </c>
      <c r="I66" s="31">
        <v>6</v>
      </c>
      <c r="J66" s="31">
        <v>7</v>
      </c>
      <c r="K66" s="31">
        <v>8</v>
      </c>
      <c r="L66" s="31">
        <v>9</v>
      </c>
      <c r="M66" s="31">
        <v>10</v>
      </c>
      <c r="N66" s="31">
        <v>11</v>
      </c>
      <c r="O66" s="31">
        <v>12</v>
      </c>
      <c r="P66" s="31">
        <v>13</v>
      </c>
      <c r="Q66" s="31">
        <v>14</v>
      </c>
      <c r="R66" s="31">
        <v>15</v>
      </c>
    </row>
    <row r="67" spans="2:18" x14ac:dyDescent="0.2">
      <c r="B67" s="108" t="str" cm="1">
        <f t="array" ref="B67:R67">'Finite Life'!B53:R53</f>
        <v>Number Of Products</v>
      </c>
      <c r="C67" s="33">
        <v>0</v>
      </c>
      <c r="D67" s="33">
        <v>0</v>
      </c>
      <c r="E67" s="33">
        <v>0</v>
      </c>
      <c r="F67" s="33">
        <v>1</v>
      </c>
      <c r="G67" s="33">
        <v>2</v>
      </c>
      <c r="H67" s="33">
        <v>3</v>
      </c>
      <c r="I67" s="33">
        <v>4</v>
      </c>
      <c r="J67" s="33">
        <v>5</v>
      </c>
      <c r="K67" s="33">
        <v>6</v>
      </c>
      <c r="L67" s="33">
        <v>7</v>
      </c>
      <c r="M67" s="33">
        <v>8</v>
      </c>
      <c r="N67" s="33">
        <v>9</v>
      </c>
      <c r="O67" s="33">
        <v>10</v>
      </c>
      <c r="P67" s="33">
        <v>11</v>
      </c>
      <c r="Q67" s="33">
        <v>11</v>
      </c>
      <c r="R67" s="33">
        <v>11</v>
      </c>
    </row>
    <row r="68" spans="2:18" x14ac:dyDescent="0.2">
      <c r="B68" s="108" t="str" cm="1">
        <f t="array" ref="B68:R68">'Finite Life'!B54:R54</f>
        <v>Increased Beverage Sales</v>
      </c>
      <c r="C68" s="33">
        <v>50</v>
      </c>
      <c r="D68" s="33">
        <v>51.5</v>
      </c>
      <c r="E68" s="33">
        <v>53.045000000000002</v>
      </c>
      <c r="F68" s="33">
        <v>54.63635</v>
      </c>
      <c r="G68" s="33">
        <v>56.275440500000002</v>
      </c>
      <c r="H68" s="33">
        <v>57.963703715000001</v>
      </c>
      <c r="I68" s="33">
        <v>59.702614826450002</v>
      </c>
      <c r="J68" s="33">
        <v>61.493693271243501</v>
      </c>
      <c r="K68" s="33">
        <v>63.338504069380811</v>
      </c>
      <c r="L68" s="33">
        <v>65.238659191462233</v>
      </c>
      <c r="M68" s="33">
        <v>67.195818967206108</v>
      </c>
      <c r="N68" s="33">
        <v>69.211693536222299</v>
      </c>
      <c r="O68" s="33">
        <v>71.288044342308964</v>
      </c>
      <c r="P68" s="33">
        <v>73.42668567257823</v>
      </c>
      <c r="Q68" s="33">
        <v>75.629486242755576</v>
      </c>
      <c r="R68" s="33">
        <v>77.898370830038246</v>
      </c>
    </row>
    <row r="69" spans="2:18" x14ac:dyDescent="0.2">
      <c r="B69" s="108" t="str" cm="1">
        <f t="array" ref="B69:R69">'Finite Life'!B55:R55</f>
        <v>Incremental Reveneu</v>
      </c>
      <c r="C69" s="33">
        <v>0</v>
      </c>
      <c r="D69" s="33">
        <v>0</v>
      </c>
      <c r="E69" s="33">
        <v>0</v>
      </c>
      <c r="F69" s="33">
        <v>54.63635</v>
      </c>
      <c r="G69" s="33">
        <v>112.550881</v>
      </c>
      <c r="H69" s="33">
        <v>173.891111145</v>
      </c>
      <c r="I69" s="33">
        <v>238.81045930580001</v>
      </c>
      <c r="J69" s="33">
        <v>307.4684663562175</v>
      </c>
      <c r="K69" s="33">
        <v>380.03102441628488</v>
      </c>
      <c r="L69" s="33">
        <v>456.6706143402356</v>
      </c>
      <c r="M69" s="33">
        <v>537.56655173764887</v>
      </c>
      <c r="N69" s="33">
        <v>622.90524182600075</v>
      </c>
      <c r="O69" s="33">
        <v>712.88044342308967</v>
      </c>
      <c r="P69" s="33">
        <v>807.69354239836048</v>
      </c>
      <c r="Q69" s="33">
        <v>831.92434867031136</v>
      </c>
      <c r="R69" s="33">
        <v>856.88207913042072</v>
      </c>
    </row>
    <row r="70" spans="2:18" x14ac:dyDescent="0.2">
      <c r="B70" s="87" t="s">
        <v>219</v>
      </c>
      <c r="C70" s="33" cm="1">
        <f t="array" ref="C70:R70">_xlfn.ANCHORARRAY('Finite Life'!C56)</f>
        <v>0</v>
      </c>
      <c r="D70" s="33">
        <v>0</v>
      </c>
      <c r="E70" s="33">
        <v>0</v>
      </c>
      <c r="F70" s="33">
        <v>9.2936431349999999</v>
      </c>
      <c r="G70" s="33">
        <v>19.144904858100002</v>
      </c>
      <c r="H70" s="33">
        <v>29.578878005764501</v>
      </c>
      <c r="I70" s="33">
        <v>40.62165912791658</v>
      </c>
      <c r="J70" s="33">
        <v>52.300386127192596</v>
      </c>
      <c r="K70" s="33">
        <v>64.643277253210059</v>
      </c>
      <c r="L70" s="33">
        <v>77.679671499274079</v>
      </c>
      <c r="M70" s="33">
        <v>91.440070450574069</v>
      </c>
      <c r="N70" s="33">
        <v>105.95618163460273</v>
      </c>
      <c r="O70" s="33">
        <v>121.26096342626755</v>
      </c>
      <c r="P70" s="33">
        <v>137.38867156196113</v>
      </c>
      <c r="Q70" s="33">
        <v>141.51033170881996</v>
      </c>
      <c r="R70" s="33">
        <v>145.75564166008456</v>
      </c>
    </row>
    <row r="71" spans="2:18" x14ac:dyDescent="0.2">
      <c r="B71" s="87" t="s">
        <v>221</v>
      </c>
      <c r="C71" s="33" cm="1">
        <f t="array" ref="C71:R71">'Finite Life'!C57:R57</f>
        <v>0</v>
      </c>
      <c r="D71" s="33">
        <v>0</v>
      </c>
      <c r="E71" s="33">
        <v>0</v>
      </c>
      <c r="F71" s="33">
        <v>6.97023235125</v>
      </c>
      <c r="G71" s="33">
        <v>14.358678643575001</v>
      </c>
      <c r="H71" s="33">
        <v>22.184158504323378</v>
      </c>
      <c r="I71" s="33">
        <v>30.466244345937433</v>
      </c>
      <c r="J71" s="33">
        <v>39.225289595394443</v>
      </c>
      <c r="K71" s="33">
        <v>48.482457939907547</v>
      </c>
      <c r="L71" s="33">
        <v>58.259753624455556</v>
      </c>
      <c r="M71" s="33">
        <v>68.580052837930552</v>
      </c>
      <c r="N71" s="33">
        <v>79.467136225952046</v>
      </c>
      <c r="O71" s="33">
        <v>90.945722569700663</v>
      </c>
      <c r="P71" s="33">
        <v>103.04150367147085</v>
      </c>
      <c r="Q71" s="33">
        <v>106.13274878161496</v>
      </c>
      <c r="R71" s="33">
        <v>109.31673124506342</v>
      </c>
    </row>
    <row r="72" spans="2:18" x14ac:dyDescent="0.2">
      <c r="B72" s="87" t="s">
        <v>230</v>
      </c>
      <c r="C72" s="33" cm="1">
        <f t="array" ref="C72:R72">_xlfn.ANCHORARRAY('Finite Life'!C58)</f>
        <v>0</v>
      </c>
      <c r="D72" s="33">
        <v>0</v>
      </c>
      <c r="E72" s="33">
        <v>0</v>
      </c>
      <c r="F72" s="33">
        <v>6.97023235125</v>
      </c>
      <c r="G72" s="33">
        <v>14.358678643575001</v>
      </c>
      <c r="H72" s="33">
        <v>22.184158504323378</v>
      </c>
      <c r="I72" s="33">
        <v>30.466244345937433</v>
      </c>
      <c r="J72" s="33">
        <v>39.225289595394443</v>
      </c>
      <c r="K72" s="33">
        <v>48.482457939907547</v>
      </c>
      <c r="L72" s="33">
        <v>58.259753624455556</v>
      </c>
      <c r="M72" s="33">
        <v>68.580052837930552</v>
      </c>
      <c r="N72" s="33">
        <v>79.467136225952046</v>
      </c>
      <c r="O72" s="33">
        <v>90.945722569700663</v>
      </c>
      <c r="P72" s="33">
        <v>103.04150367147085</v>
      </c>
      <c r="Q72" s="33">
        <v>106.13274878161496</v>
      </c>
      <c r="R72" s="33">
        <v>109.31673124506342</v>
      </c>
    </row>
    <row r="73" spans="2:18" ht="17" thickBot="1" x14ac:dyDescent="0.25">
      <c r="B73" s="110" t="s">
        <v>231</v>
      </c>
      <c r="C73" s="69"/>
      <c r="D73" s="69"/>
      <c r="E73" s="69"/>
      <c r="F73" s="69"/>
      <c r="G73" s="69"/>
      <c r="H73" s="69"/>
      <c r="I73" s="69"/>
      <c r="J73" s="69"/>
      <c r="K73" s="69"/>
      <c r="L73" s="69"/>
      <c r="M73" s="69"/>
      <c r="N73" s="69"/>
      <c r="O73" s="69"/>
      <c r="P73" s="69"/>
      <c r="Q73" s="69"/>
      <c r="R73" s="69">
        <f>R72/(C60-C6)</f>
        <v>1023.5648992983466</v>
      </c>
    </row>
    <row r="74" spans="2:18" ht="17" thickBot="1" x14ac:dyDescent="0.25">
      <c r="B74" s="99" t="s">
        <v>220</v>
      </c>
      <c r="C74" s="72">
        <f>C72/(1+C60)^C66</f>
        <v>0</v>
      </c>
      <c r="D74" s="72">
        <f>D72/(1+C60)^D66</f>
        <v>0</v>
      </c>
      <c r="E74" s="72">
        <f>E72/(1+C60)^E66</f>
        <v>0</v>
      </c>
      <c r="F74" s="72">
        <f>F72/(1+C60)^F66</f>
        <v>4.7445503597507015</v>
      </c>
      <c r="G74" s="72">
        <f>G72/(1+C60)^G66</f>
        <v>8.5976194063040534</v>
      </c>
      <c r="H74" s="72">
        <f>H72/(1+C60)^H66</f>
        <v>11.684836367645815</v>
      </c>
      <c r="I74" s="72">
        <f>I72/(1+C60)^I66</f>
        <v>14.116093664878239</v>
      </c>
      <c r="J74" s="72">
        <f>J72/(1+C60)^J66</f>
        <v>15.987394962641389</v>
      </c>
      <c r="K74" s="72">
        <f>K72/(1+C60)^K66</f>
        <v>17.382494874933819</v>
      </c>
      <c r="L74" s="72">
        <f>L72/(1+C60)^L66</f>
        <v>18.374353162132415</v>
      </c>
      <c r="M74" s="72">
        <f>M72/(1+C60)^M66</f>
        <v>19.026423803153104</v>
      </c>
      <c r="N74" s="72">
        <f>N72/(1+C60)^N66</f>
        <v>19.393797133975777</v>
      </c>
      <c r="O74" s="72">
        <f>O72/(1+C60)^O66</f>
        <v>19.524211283129105</v>
      </c>
      <c r="P74" s="72">
        <f>P72/(1+C60)^P66</f>
        <v>19.458947381936376</v>
      </c>
      <c r="Q74" s="72">
        <f>Q72/(1+C60)^Q66</f>
        <v>17.630819672232992</v>
      </c>
      <c r="R74" s="73">
        <f>(R72+R73)/(1+C60)^R66</f>
        <v>165.54785617444048</v>
      </c>
    </row>
    <row r="75" spans="2:18" ht="17" thickBot="1" x14ac:dyDescent="0.25"/>
    <row r="76" spans="2:18" ht="17" thickBot="1" x14ac:dyDescent="0.25">
      <c r="B76" s="99" t="s">
        <v>232</v>
      </c>
      <c r="C76" s="73">
        <f>SUM(C74:R74)</f>
        <v>351.46939824715429</v>
      </c>
    </row>
    <row r="77" spans="2:18" ht="17" thickBot="1" x14ac:dyDescent="0.25"/>
    <row r="78" spans="2:18" ht="17" thickBot="1" x14ac:dyDescent="0.25">
      <c r="B78" s="99" t="s">
        <v>223</v>
      </c>
      <c r="C78" s="73">
        <f>C54+C76</f>
        <v>324.87955957071898</v>
      </c>
    </row>
  </sheetData>
  <mergeCells count="4">
    <mergeCell ref="B1:S2"/>
    <mergeCell ref="B45:C47"/>
    <mergeCell ref="B62:C64"/>
    <mergeCell ref="B32:C39"/>
  </mergeCells>
  <pageMargins left="0.7" right="0.7" top="0.75" bottom="0.75" header="0.3" footer="0.3"/>
  <ignoredErrors>
    <ignoredError sqref="N29 R29" formula="1"/>
  </ignoredError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53DD9-8765-214A-A8BF-F1AFB9922881}">
  <dimension ref="B1:J25"/>
  <sheetViews>
    <sheetView zoomScale="150" workbookViewId="0">
      <selection activeCell="G22" sqref="G22"/>
    </sheetView>
  </sheetViews>
  <sheetFormatPr baseColWidth="10" defaultRowHeight="16" x14ac:dyDescent="0.2"/>
  <cols>
    <col min="2" max="2" width="9.1640625" customWidth="1"/>
    <col min="3" max="3" width="20.1640625" customWidth="1"/>
    <col min="4" max="4" width="20.5" customWidth="1"/>
    <col min="5" max="5" width="18.5" customWidth="1"/>
    <col min="6" max="6" width="18.6640625" customWidth="1"/>
    <col min="7" max="7" width="17.1640625" customWidth="1"/>
    <col min="8" max="8" width="12.5" customWidth="1"/>
    <col min="9" max="9" width="13.33203125" customWidth="1"/>
    <col min="10" max="10" width="12.6640625" customWidth="1"/>
  </cols>
  <sheetData>
    <row r="1" spans="2:10" ht="36" customHeight="1" x14ac:dyDescent="0.35">
      <c r="B1" s="155" t="s">
        <v>235</v>
      </c>
      <c r="C1" s="155"/>
      <c r="D1" s="155"/>
      <c r="E1" s="155"/>
      <c r="F1" s="155"/>
      <c r="G1" s="155"/>
      <c r="H1" s="155"/>
      <c r="I1" s="155"/>
      <c r="J1" s="155"/>
    </row>
    <row r="2" spans="2:10" ht="16" customHeight="1" x14ac:dyDescent="0.35">
      <c r="C2" s="118"/>
      <c r="D2" s="118"/>
      <c r="E2" s="118"/>
      <c r="F2" s="118"/>
      <c r="G2" s="118"/>
      <c r="H2" s="118"/>
      <c r="I2" s="118"/>
    </row>
    <row r="3" spans="2:10" x14ac:dyDescent="0.2">
      <c r="B3" s="111" t="s">
        <v>115</v>
      </c>
      <c r="C3" s="111" t="s">
        <v>182</v>
      </c>
      <c r="D3" s="8" t="s">
        <v>183</v>
      </c>
      <c r="E3" s="8" t="s">
        <v>179</v>
      </c>
      <c r="F3" s="8" t="s">
        <v>180</v>
      </c>
      <c r="G3" s="8" t="s">
        <v>181</v>
      </c>
      <c r="H3" s="8" t="s">
        <v>233</v>
      </c>
      <c r="I3" s="8" t="s">
        <v>196</v>
      </c>
      <c r="J3" s="8" t="s">
        <v>222</v>
      </c>
    </row>
    <row r="4" spans="2:10" x14ac:dyDescent="0.2">
      <c r="B4" s="28">
        <v>0</v>
      </c>
      <c r="C4" s="33">
        <v>0</v>
      </c>
      <c r="D4" s="33">
        <f>Parameters!C33</f>
        <v>250</v>
      </c>
      <c r="E4" s="33">
        <v>0</v>
      </c>
      <c r="F4" s="33">
        <v>0</v>
      </c>
      <c r="G4" s="33">
        <f>SUM(C4:F4)</f>
        <v>250</v>
      </c>
      <c r="H4" s="33">
        <f>(C4+G4)/2</f>
        <v>125</v>
      </c>
      <c r="I4" s="33">
        <v>0</v>
      </c>
      <c r="J4" s="42">
        <f>I4/H4</f>
        <v>0</v>
      </c>
    </row>
    <row r="5" spans="2:10" x14ac:dyDescent="0.2">
      <c r="B5" s="28">
        <v>1</v>
      </c>
      <c r="C5" s="33">
        <f>G4</f>
        <v>250</v>
      </c>
      <c r="D5" s="33">
        <v>0</v>
      </c>
      <c r="E5" s="33">
        <v>0</v>
      </c>
      <c r="F5" s="33">
        <v>0</v>
      </c>
      <c r="G5" s="33">
        <f>SUM(C5:F5)</f>
        <v>250</v>
      </c>
      <c r="H5" s="33">
        <f t="shared" ref="H5:H19" si="0">(C5+G5)/2</f>
        <v>250</v>
      </c>
      <c r="I5" s="33">
        <v>0</v>
      </c>
      <c r="J5" s="42">
        <f>I5/H5</f>
        <v>0</v>
      </c>
    </row>
    <row r="6" spans="2:10" x14ac:dyDescent="0.2">
      <c r="B6" s="28">
        <v>2</v>
      </c>
      <c r="C6" s="33">
        <f>G5</f>
        <v>250</v>
      </c>
      <c r="D6" s="33">
        <v>0</v>
      </c>
      <c r="E6" s="33">
        <v>0</v>
      </c>
      <c r="F6" s="50">
        <v>0</v>
      </c>
      <c r="G6" s="33">
        <f>SUM(C6:F6)</f>
        <v>250</v>
      </c>
      <c r="H6" s="33">
        <f t="shared" si="0"/>
        <v>250</v>
      </c>
      <c r="I6" s="33">
        <v>0</v>
      </c>
      <c r="J6" s="42">
        <f t="shared" ref="J6:J19" si="1">I6/H6</f>
        <v>0</v>
      </c>
    </row>
    <row r="7" spans="2:10" x14ac:dyDescent="0.2">
      <c r="B7" s="28">
        <v>3</v>
      </c>
      <c r="C7" s="33">
        <f>G6</f>
        <v>250</v>
      </c>
      <c r="D7" s="33">
        <f>Parameters!F34</f>
        <v>100</v>
      </c>
      <c r="E7" s="33">
        <f>Parameters!F58</f>
        <v>25</v>
      </c>
      <c r="F7" s="33">
        <f>Parameters!E68</f>
        <v>7.2</v>
      </c>
      <c r="G7" s="33">
        <f>SUM(C7+D7-E7+F7)</f>
        <v>332.2</v>
      </c>
      <c r="H7" s="33">
        <f t="shared" si="0"/>
        <v>291.10000000000002</v>
      </c>
      <c r="I7" s="33">
        <f>'Finite Life'!F18</f>
        <v>-56.371955624999998</v>
      </c>
      <c r="J7" s="42">
        <f t="shared" si="1"/>
        <v>-0.19365151365510133</v>
      </c>
    </row>
    <row r="8" spans="2:10" x14ac:dyDescent="0.2">
      <c r="B8" s="28">
        <v>4</v>
      </c>
      <c r="C8" s="33">
        <f>G7</f>
        <v>332.2</v>
      </c>
      <c r="D8" s="33">
        <f>Parameters!G34+Parameters!G40</f>
        <v>328.1</v>
      </c>
      <c r="E8" s="33">
        <f>Parameters!G58</f>
        <v>35</v>
      </c>
      <c r="F8" s="33">
        <f>Parameters!F68</f>
        <v>7.6319999999999988</v>
      </c>
      <c r="G8" s="33">
        <f>SUM(C8+D8-E8+F8)</f>
        <v>632.9319999999999</v>
      </c>
      <c r="H8" s="33">
        <f t="shared" si="0"/>
        <v>482.56599999999992</v>
      </c>
      <c r="I8" s="33">
        <f>'Finite Life'!G18</f>
        <v>-39.989258043749999</v>
      </c>
      <c r="J8" s="42">
        <f t="shared" si="1"/>
        <v>-8.2867955976488203E-2</v>
      </c>
    </row>
    <row r="9" spans="2:10" x14ac:dyDescent="0.2">
      <c r="B9" s="28">
        <v>5</v>
      </c>
      <c r="C9" s="33">
        <f>G8</f>
        <v>632.9319999999999</v>
      </c>
      <c r="D9" s="33">
        <f>Parameters!H34</f>
        <v>106.09</v>
      </c>
      <c r="E9" s="33">
        <f>Parameters!H58</f>
        <v>67.81</v>
      </c>
      <c r="F9" s="33">
        <f>Parameters!G68</f>
        <v>8.081999999999999</v>
      </c>
      <c r="G9" s="33">
        <f t="shared" ref="G9:G19" si="2">SUM(C9+D9-E9+F9)</f>
        <v>679.29399999999998</v>
      </c>
      <c r="H9" s="33">
        <f t="shared" si="0"/>
        <v>656.11299999999994</v>
      </c>
      <c r="I9" s="33">
        <f>'Finite Life'!H18</f>
        <v>-39.439861722562512</v>
      </c>
      <c r="J9" s="42">
        <f t="shared" si="1"/>
        <v>-6.0111385877985216E-2</v>
      </c>
    </row>
    <row r="10" spans="2:10" x14ac:dyDescent="0.2">
      <c r="B10" s="28">
        <v>6</v>
      </c>
      <c r="C10" s="33">
        <f t="shared" ref="C10:C19" si="3">G9</f>
        <v>679.29399999999998</v>
      </c>
      <c r="D10" s="33">
        <f>Parameters!I34</f>
        <v>109.2727</v>
      </c>
      <c r="E10" s="33">
        <f>Parameters!I58</f>
        <v>78.418999999999997</v>
      </c>
      <c r="F10" s="33">
        <f>Parameters!H68</f>
        <v>8.5548000000000073</v>
      </c>
      <c r="G10" s="33">
        <f t="shared" si="2"/>
        <v>718.70249999999999</v>
      </c>
      <c r="H10" s="33">
        <f t="shared" si="0"/>
        <v>698.99824999999998</v>
      </c>
      <c r="I10" s="33">
        <f>'Finite Life'!I18</f>
        <v>-20.919099808614384</v>
      </c>
      <c r="J10" s="42">
        <f t="shared" si="1"/>
        <v>-2.9927256339503546E-2</v>
      </c>
    </row>
    <row r="11" spans="2:10" x14ac:dyDescent="0.2">
      <c r="B11" s="28">
        <v>7</v>
      </c>
      <c r="C11" s="33">
        <f t="shared" si="3"/>
        <v>718.70249999999999</v>
      </c>
      <c r="D11" s="33">
        <f>Parameters!J34</f>
        <v>112.550881</v>
      </c>
      <c r="E11" s="33">
        <f>Parameters!J58</f>
        <v>89.347269999999995</v>
      </c>
      <c r="F11" s="33">
        <f>Parameters!I68</f>
        <v>9.0491999999999955</v>
      </c>
      <c r="G11" s="33">
        <f t="shared" si="2"/>
        <v>750.95531100000005</v>
      </c>
      <c r="H11" s="33">
        <f t="shared" si="0"/>
        <v>734.82890550000002</v>
      </c>
      <c r="I11" s="33">
        <f>'Finite Life'!J18</f>
        <v>-1.2790771489666035</v>
      </c>
      <c r="J11" s="42">
        <f t="shared" si="1"/>
        <v>-1.740646209468693E-3</v>
      </c>
    </row>
    <row r="12" spans="2:10" x14ac:dyDescent="0.2">
      <c r="B12" s="28">
        <v>8</v>
      </c>
      <c r="C12" s="33">
        <f t="shared" si="3"/>
        <v>750.95531100000005</v>
      </c>
      <c r="D12" s="33">
        <f>Parameters!K34</f>
        <v>115.92740743</v>
      </c>
      <c r="E12" s="33">
        <f>Parameters!K58</f>
        <v>100.6050881</v>
      </c>
      <c r="F12" s="33">
        <f>Parameters!J68</f>
        <v>9.5652000000000044</v>
      </c>
      <c r="G12" s="33">
        <f t="shared" si="2"/>
        <v>775.84283033000008</v>
      </c>
      <c r="H12" s="33">
        <f t="shared" si="0"/>
        <v>763.39907066500007</v>
      </c>
      <c r="I12" s="33">
        <f>'Finite Life'!K18</f>
        <v>19.506397973165981</v>
      </c>
      <c r="J12" s="42">
        <f t="shared" si="1"/>
        <v>2.5552032642866433E-2</v>
      </c>
    </row>
    <row r="13" spans="2:10" x14ac:dyDescent="0.2">
      <c r="B13" s="28">
        <v>9</v>
      </c>
      <c r="C13" s="33">
        <f t="shared" si="3"/>
        <v>775.84283033000008</v>
      </c>
      <c r="D13" s="33">
        <f>Parameters!L34</f>
        <v>119.4052296529</v>
      </c>
      <c r="E13" s="33">
        <f>Parameters!L58</f>
        <v>112.20274074300001</v>
      </c>
      <c r="F13" s="33">
        <f>Parameters!K68</f>
        <v>10.094399999999993</v>
      </c>
      <c r="G13" s="33">
        <f t="shared" si="2"/>
        <v>793.13971923989993</v>
      </c>
      <c r="H13" s="33">
        <f t="shared" si="0"/>
        <v>784.49127478495006</v>
      </c>
      <c r="I13" s="33">
        <f>'Finite Life'!L18</f>
        <v>41.427397845792612</v>
      </c>
      <c r="J13" s="42">
        <f t="shared" si="1"/>
        <v>5.280797782887893E-2</v>
      </c>
    </row>
    <row r="14" spans="2:10" x14ac:dyDescent="0.2">
      <c r="B14" s="28">
        <v>10</v>
      </c>
      <c r="C14" s="33">
        <f t="shared" si="3"/>
        <v>793.13971923989993</v>
      </c>
      <c r="D14" s="33">
        <f>Parameters!M34</f>
        <v>122.987386542487</v>
      </c>
      <c r="E14" s="33">
        <f>Parameters!M58</f>
        <v>124.14052296529002</v>
      </c>
      <c r="F14" s="33">
        <f>Parameters!L68</f>
        <v>10.660800000000009</v>
      </c>
      <c r="G14" s="33">
        <f t="shared" si="2"/>
        <v>802.64738281709685</v>
      </c>
      <c r="H14" s="33">
        <f t="shared" si="0"/>
        <v>797.89355102849845</v>
      </c>
      <c r="I14" s="33">
        <f>'Finite Life'!M18</f>
        <v>64.566417923769563</v>
      </c>
      <c r="J14" s="42">
        <f t="shared" si="1"/>
        <v>8.0921092595048982E-2</v>
      </c>
    </row>
    <row r="15" spans="2:10" x14ac:dyDescent="0.2">
      <c r="B15" s="28">
        <v>11</v>
      </c>
      <c r="C15" s="33">
        <f t="shared" si="3"/>
        <v>802.64738281709685</v>
      </c>
      <c r="D15" s="33">
        <f>Parameters!N34-Parameters!N40</f>
        <v>-150.17299186123842</v>
      </c>
      <c r="E15" s="33">
        <f>Parameters!N58</f>
        <v>136.43873865424871</v>
      </c>
      <c r="F15" s="33">
        <f>Parameters!M68</f>
        <v>11.252399999999994</v>
      </c>
      <c r="G15" s="33">
        <f t="shared" si="2"/>
        <v>527.2880523016097</v>
      </c>
      <c r="H15" s="33">
        <f t="shared" si="0"/>
        <v>664.96771755935333</v>
      </c>
      <c r="I15" s="33">
        <f>'Finite Life'!N18</f>
        <v>88.940373879966032</v>
      </c>
      <c r="J15" s="42">
        <f t="shared" si="1"/>
        <v>0.13375141609340974</v>
      </c>
    </row>
    <row r="16" spans="2:10" x14ac:dyDescent="0.2">
      <c r="B16" s="28">
        <v>12</v>
      </c>
      <c r="C16" s="33">
        <f t="shared" si="3"/>
        <v>527.2880523016097</v>
      </c>
      <c r="D16" s="33">
        <f>Parameters!O34</f>
        <v>130.47731838292447</v>
      </c>
      <c r="E16" s="33">
        <f>Parameters!O58</f>
        <v>121.42770081387617</v>
      </c>
      <c r="F16" s="33">
        <f>Parameters!N68</f>
        <v>11.85720000000002</v>
      </c>
      <c r="G16" s="33">
        <f t="shared" si="2"/>
        <v>548.19486987065807</v>
      </c>
      <c r="H16" s="33">
        <f t="shared" si="0"/>
        <v>537.74146108613388</v>
      </c>
      <c r="I16" s="33">
        <f>'Finite Life'!O18</f>
        <v>135.28254856639757</v>
      </c>
      <c r="J16" s="42">
        <f t="shared" si="1"/>
        <v>0.25157544722914421</v>
      </c>
    </row>
    <row r="17" spans="2:10" x14ac:dyDescent="0.2">
      <c r="B17" s="28">
        <v>13</v>
      </c>
      <c r="C17" s="33">
        <f t="shared" si="3"/>
        <v>548.19486987065807</v>
      </c>
      <c r="D17" s="33">
        <v>0</v>
      </c>
      <c r="E17" s="33">
        <f>Parameters!P58</f>
        <v>109.47773183829244</v>
      </c>
      <c r="F17" s="33">
        <f>Parameters!O68</f>
        <v>12.483599999999967</v>
      </c>
      <c r="G17" s="33">
        <f t="shared" si="2"/>
        <v>451.20073803236556</v>
      </c>
      <c r="H17" s="33">
        <f t="shared" si="0"/>
        <v>499.69780395151179</v>
      </c>
      <c r="I17" s="33">
        <f>'Finite Life'!P18</f>
        <v>180.82098388561107</v>
      </c>
      <c r="J17" s="42">
        <f t="shared" si="1"/>
        <v>0.36186067350249362</v>
      </c>
    </row>
    <row r="18" spans="2:10" x14ac:dyDescent="0.2">
      <c r="B18" s="28">
        <v>14</v>
      </c>
      <c r="C18" s="33">
        <f t="shared" si="3"/>
        <v>451.20073803236556</v>
      </c>
      <c r="D18" s="33">
        <v>0</v>
      </c>
      <c r="E18" s="33">
        <f>Parameters!Q58</f>
        <v>99.47999999999999</v>
      </c>
      <c r="F18" s="33">
        <f>Parameters!P68</f>
        <v>3.1944000000000159</v>
      </c>
      <c r="G18" s="33">
        <f t="shared" si="2"/>
        <v>354.91513803236563</v>
      </c>
      <c r="H18" s="33">
        <f t="shared" si="0"/>
        <v>403.0579380323656</v>
      </c>
      <c r="I18" s="33">
        <f>'Finite Life'!Q18</f>
        <v>195.9297588759118</v>
      </c>
      <c r="J18" s="42">
        <f t="shared" si="1"/>
        <v>0.48610817549555024</v>
      </c>
    </row>
    <row r="19" spans="2:10" ht="17" thickBot="1" x14ac:dyDescent="0.25">
      <c r="B19" s="28">
        <v>15</v>
      </c>
      <c r="C19" s="69">
        <f t="shared" si="3"/>
        <v>354.91513803236563</v>
      </c>
      <c r="D19" s="69">
        <v>0</v>
      </c>
      <c r="E19" s="69">
        <f>Parameters!R58</f>
        <v>89.179999999999993</v>
      </c>
      <c r="F19" s="69">
        <f>Parameters!Q68</f>
        <v>3.3000000000000114</v>
      </c>
      <c r="G19" s="69">
        <f t="shared" si="2"/>
        <v>269.03513803236564</v>
      </c>
      <c r="H19" s="69">
        <f t="shared" si="0"/>
        <v>311.97513803236563</v>
      </c>
      <c r="I19" s="69">
        <f>'Finite Life'!R18</f>
        <v>211.51603690227321</v>
      </c>
      <c r="J19" s="113">
        <f t="shared" si="1"/>
        <v>0.6779900418870225</v>
      </c>
    </row>
    <row r="20" spans="2:10" ht="17" thickBot="1" x14ac:dyDescent="0.25">
      <c r="B20" s="112"/>
      <c r="C20" s="153" t="s">
        <v>234</v>
      </c>
      <c r="D20" s="154"/>
      <c r="E20" s="154"/>
      <c r="F20" s="154"/>
      <c r="G20" s="84">
        <f>SUM(G7:G19)</f>
        <v>7636.3476796563609</v>
      </c>
      <c r="H20" s="72">
        <f>SUM(H7:H19)</f>
        <v>7626.8301106401786</v>
      </c>
      <c r="I20" s="72">
        <f>SUM(I7:I19)</f>
        <v>779.99066350399437</v>
      </c>
      <c r="J20" s="106">
        <f>I20/H20</f>
        <v>0.1022693113900401</v>
      </c>
    </row>
    <row r="21" spans="2:10" x14ac:dyDescent="0.2">
      <c r="C21" s="78"/>
      <c r="D21" s="78"/>
      <c r="E21" s="78"/>
      <c r="F21" s="78"/>
      <c r="G21" s="49"/>
      <c r="H21" s="49"/>
      <c r="I21" s="49"/>
      <c r="J21" s="116"/>
    </row>
    <row r="22" spans="2:10" x14ac:dyDescent="0.2">
      <c r="C22" s="149"/>
      <c r="D22" s="149"/>
      <c r="E22" s="149"/>
    </row>
    <row r="23" spans="2:10" x14ac:dyDescent="0.2">
      <c r="C23" s="149"/>
      <c r="D23" s="149"/>
      <c r="E23" s="149"/>
    </row>
    <row r="24" spans="2:10" x14ac:dyDescent="0.2">
      <c r="C24" s="149"/>
      <c r="D24" s="149"/>
      <c r="E24" s="149"/>
    </row>
    <row r="25" spans="2:10" x14ac:dyDescent="0.2">
      <c r="C25" s="149"/>
      <c r="D25" s="149"/>
      <c r="E25" s="149"/>
    </row>
  </sheetData>
  <mergeCells count="3">
    <mergeCell ref="C20:F20"/>
    <mergeCell ref="C22:E25"/>
    <mergeCell ref="B1:J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Lembar kerja</vt:lpstr>
      </vt:variant>
      <vt:variant>
        <vt:i4>5</vt:i4>
      </vt:variant>
    </vt:vector>
  </HeadingPairs>
  <TitlesOfParts>
    <vt:vector size="5" baseType="lpstr">
      <vt:lpstr>Hurdle Rate</vt:lpstr>
      <vt:lpstr>Parameters</vt:lpstr>
      <vt:lpstr>Finite Life</vt:lpstr>
      <vt:lpstr>Infinite Life</vt:lpstr>
      <vt:lpstr>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 cua</dc:creator>
  <cp:lastModifiedBy>mus cua</cp:lastModifiedBy>
  <dcterms:created xsi:type="dcterms:W3CDTF">2026-09-16T03:20:37Z</dcterms:created>
  <dcterms:modified xsi:type="dcterms:W3CDTF">2026-09-29T05:26:05Z</dcterms:modified>
</cp:coreProperties>
</file>